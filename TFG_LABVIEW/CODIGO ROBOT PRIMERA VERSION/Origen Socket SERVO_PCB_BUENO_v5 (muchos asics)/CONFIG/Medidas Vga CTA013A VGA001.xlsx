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7715" windowHeight="110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Y53" i="1" l="1"/>
  <c r="Z53" i="1"/>
  <c r="AA53" i="1"/>
  <c r="AA64" i="1" s="1"/>
  <c r="AB53" i="1"/>
  <c r="AB64" i="1" s="1"/>
  <c r="AC53" i="1"/>
  <c r="AD53" i="1"/>
  <c r="Y54" i="1"/>
  <c r="Z54" i="1"/>
  <c r="AA54" i="1"/>
  <c r="AB54" i="1"/>
  <c r="AC54" i="1"/>
  <c r="AC64" i="1" s="1"/>
  <c r="AD54" i="1"/>
  <c r="AD64" i="1" s="1"/>
  <c r="Y55" i="1"/>
  <c r="Z55" i="1"/>
  <c r="AA55" i="1"/>
  <c r="AB55" i="1"/>
  <c r="AC55" i="1"/>
  <c r="AD55" i="1"/>
  <c r="Y56" i="1"/>
  <c r="Z56" i="1"/>
  <c r="Z64" i="1" s="1"/>
  <c r="AA56" i="1"/>
  <c r="AB56" i="1"/>
  <c r="AC56" i="1"/>
  <c r="AD56" i="1"/>
  <c r="Y57" i="1"/>
  <c r="Z57" i="1"/>
  <c r="AA57" i="1"/>
  <c r="AB57" i="1"/>
  <c r="AC57" i="1"/>
  <c r="AD57" i="1"/>
  <c r="Y58" i="1"/>
  <c r="Z58" i="1"/>
  <c r="AA58" i="1"/>
  <c r="AB58" i="1"/>
  <c r="AC58" i="1"/>
  <c r="AD58" i="1"/>
  <c r="Y59" i="1"/>
  <c r="Z59" i="1"/>
  <c r="AA59" i="1"/>
  <c r="AB59" i="1"/>
  <c r="AC59" i="1"/>
  <c r="AD59" i="1"/>
  <c r="Y60" i="1"/>
  <c r="Z60" i="1"/>
  <c r="AA60" i="1"/>
  <c r="AB60" i="1"/>
  <c r="AC60" i="1"/>
  <c r="AD60" i="1"/>
  <c r="Y61" i="1"/>
  <c r="Z61" i="1"/>
  <c r="AA61" i="1"/>
  <c r="AB61" i="1"/>
  <c r="AC61" i="1"/>
  <c r="AD61" i="1"/>
  <c r="Y62" i="1"/>
  <c r="Z62" i="1"/>
  <c r="AA62" i="1"/>
  <c r="AB62" i="1"/>
  <c r="AC62" i="1"/>
  <c r="AD62" i="1"/>
  <c r="Y63" i="1"/>
  <c r="Z63" i="1"/>
  <c r="AA63" i="1"/>
  <c r="AB63" i="1"/>
  <c r="AC63" i="1"/>
  <c r="AD63" i="1"/>
  <c r="X54" i="1"/>
  <c r="X55" i="1"/>
  <c r="X56" i="1"/>
  <c r="X57" i="1"/>
  <c r="X58" i="1"/>
  <c r="X59" i="1"/>
  <c r="X60" i="1"/>
  <c r="X61" i="1"/>
  <c r="X62" i="1"/>
  <c r="X63" i="1"/>
  <c r="X53" i="1"/>
  <c r="X64" i="1" s="1"/>
  <c r="Y64" i="1"/>
  <c r="U106" i="1"/>
  <c r="T106" i="1"/>
  <c r="S106" i="1"/>
  <c r="R106" i="1"/>
  <c r="Q106" i="1"/>
  <c r="V105" i="1"/>
  <c r="U105" i="1"/>
  <c r="T105" i="1"/>
  <c r="S105" i="1"/>
  <c r="R105" i="1"/>
  <c r="Q105" i="1"/>
  <c r="P105" i="1"/>
  <c r="V104" i="1"/>
  <c r="U104" i="1"/>
  <c r="T104" i="1"/>
  <c r="S104" i="1"/>
  <c r="R104" i="1"/>
  <c r="Q104" i="1"/>
  <c r="P104" i="1"/>
  <c r="V103" i="1"/>
  <c r="U103" i="1"/>
  <c r="T103" i="1"/>
  <c r="S103" i="1"/>
  <c r="R103" i="1"/>
  <c r="Q103" i="1"/>
  <c r="P103" i="1"/>
  <c r="V102" i="1"/>
  <c r="U102" i="1"/>
  <c r="T102" i="1"/>
  <c r="S102" i="1"/>
  <c r="R102" i="1"/>
  <c r="Q102" i="1"/>
  <c r="P102" i="1"/>
  <c r="V101" i="1"/>
  <c r="U101" i="1"/>
  <c r="T101" i="1"/>
  <c r="S101" i="1"/>
  <c r="R101" i="1"/>
  <c r="Q101" i="1"/>
  <c r="P101" i="1"/>
  <c r="V100" i="1"/>
  <c r="U100" i="1"/>
  <c r="T100" i="1"/>
  <c r="S100" i="1"/>
  <c r="R100" i="1"/>
  <c r="Q100" i="1"/>
  <c r="P100" i="1"/>
  <c r="V99" i="1"/>
  <c r="U99" i="1"/>
  <c r="T99" i="1"/>
  <c r="S99" i="1"/>
  <c r="R99" i="1"/>
  <c r="Q99" i="1"/>
  <c r="P99" i="1"/>
  <c r="V98" i="1"/>
  <c r="U98" i="1"/>
  <c r="T98" i="1"/>
  <c r="S98" i="1"/>
  <c r="R98" i="1"/>
  <c r="Q98" i="1"/>
  <c r="P98" i="1"/>
  <c r="V97" i="1"/>
  <c r="U97" i="1"/>
  <c r="T97" i="1"/>
  <c r="S97" i="1"/>
  <c r="R97" i="1"/>
  <c r="Q97" i="1"/>
  <c r="P97" i="1"/>
  <c r="V96" i="1"/>
  <c r="U96" i="1"/>
  <c r="T96" i="1"/>
  <c r="S96" i="1"/>
  <c r="R96" i="1"/>
  <c r="Q96" i="1"/>
  <c r="P96" i="1"/>
  <c r="V95" i="1"/>
  <c r="V106" i="1" s="1"/>
  <c r="U95" i="1"/>
  <c r="T95" i="1"/>
  <c r="S95" i="1"/>
  <c r="R95" i="1"/>
  <c r="Q95" i="1"/>
  <c r="P95" i="1"/>
  <c r="P106" i="1" s="1"/>
  <c r="H36" i="1"/>
  <c r="O54" i="1"/>
  <c r="O55" i="1"/>
  <c r="O56" i="1"/>
  <c r="O57" i="1"/>
  <c r="O58" i="1"/>
  <c r="O59" i="1"/>
  <c r="O60" i="1"/>
  <c r="O61" i="1"/>
  <c r="O62" i="1"/>
  <c r="O63" i="1"/>
  <c r="O53" i="1"/>
  <c r="Q53" i="1"/>
  <c r="R53" i="1"/>
  <c r="S53" i="1"/>
  <c r="S64" i="1" s="1"/>
  <c r="T53" i="1"/>
  <c r="U53" i="1"/>
  <c r="V53" i="1"/>
  <c r="Q54" i="1"/>
  <c r="Q64" i="1" s="1"/>
  <c r="R54" i="1"/>
  <c r="S54" i="1"/>
  <c r="T54" i="1"/>
  <c r="T64" i="1" s="1"/>
  <c r="U54" i="1"/>
  <c r="U64" i="1" s="1"/>
  <c r="V54" i="1"/>
  <c r="Q55" i="1"/>
  <c r="R55" i="1"/>
  <c r="S55" i="1"/>
  <c r="T55" i="1"/>
  <c r="U55" i="1"/>
  <c r="V55" i="1"/>
  <c r="Q56" i="1"/>
  <c r="R56" i="1"/>
  <c r="S56" i="1"/>
  <c r="T56" i="1"/>
  <c r="U56" i="1"/>
  <c r="V56" i="1"/>
  <c r="Q57" i="1"/>
  <c r="R57" i="1"/>
  <c r="S57" i="1"/>
  <c r="T57" i="1"/>
  <c r="U57" i="1"/>
  <c r="V57" i="1"/>
  <c r="Q58" i="1"/>
  <c r="R58" i="1"/>
  <c r="S58" i="1"/>
  <c r="T58" i="1"/>
  <c r="U58" i="1"/>
  <c r="V58" i="1"/>
  <c r="Q59" i="1"/>
  <c r="R59" i="1"/>
  <c r="S59" i="1"/>
  <c r="T59" i="1"/>
  <c r="U59" i="1"/>
  <c r="V59" i="1"/>
  <c r="Q60" i="1"/>
  <c r="R60" i="1"/>
  <c r="S60" i="1"/>
  <c r="T60" i="1"/>
  <c r="U60" i="1"/>
  <c r="V60" i="1"/>
  <c r="Q61" i="1"/>
  <c r="R61" i="1"/>
  <c r="S61" i="1"/>
  <c r="T61" i="1"/>
  <c r="U61" i="1"/>
  <c r="V61" i="1"/>
  <c r="Q62" i="1"/>
  <c r="R62" i="1"/>
  <c r="S62" i="1"/>
  <c r="T62" i="1"/>
  <c r="U62" i="1"/>
  <c r="V62" i="1"/>
  <c r="Q63" i="1"/>
  <c r="R63" i="1"/>
  <c r="S63" i="1"/>
  <c r="T63" i="1"/>
  <c r="U63" i="1"/>
  <c r="V63" i="1"/>
  <c r="P54" i="1"/>
  <c r="P55" i="1"/>
  <c r="P56" i="1"/>
  <c r="P57" i="1"/>
  <c r="P58" i="1"/>
  <c r="P59" i="1"/>
  <c r="P60" i="1"/>
  <c r="P61" i="1"/>
  <c r="P62" i="1"/>
  <c r="P63" i="1"/>
  <c r="P53" i="1"/>
  <c r="R64" i="1"/>
  <c r="V64" i="1"/>
  <c r="V88" i="1"/>
  <c r="U88" i="1"/>
  <c r="T88" i="1"/>
  <c r="S88" i="1"/>
  <c r="R88" i="1"/>
  <c r="Q88" i="1"/>
  <c r="P88" i="1"/>
  <c r="V87" i="1"/>
  <c r="U87" i="1"/>
  <c r="T87" i="1"/>
  <c r="S87" i="1"/>
  <c r="R87" i="1"/>
  <c r="Q87" i="1"/>
  <c r="P87" i="1"/>
  <c r="V86" i="1"/>
  <c r="U86" i="1"/>
  <c r="T86" i="1"/>
  <c r="S86" i="1"/>
  <c r="R86" i="1"/>
  <c r="Q86" i="1"/>
  <c r="P86" i="1"/>
  <c r="V85" i="1"/>
  <c r="U85" i="1"/>
  <c r="T85" i="1"/>
  <c r="S85" i="1"/>
  <c r="R85" i="1"/>
  <c r="Q85" i="1"/>
  <c r="P85" i="1"/>
  <c r="V84" i="1"/>
  <c r="U84" i="1"/>
  <c r="T84" i="1"/>
  <c r="S84" i="1"/>
  <c r="R84" i="1"/>
  <c r="Q84" i="1"/>
  <c r="P84" i="1"/>
  <c r="V83" i="1"/>
  <c r="U83" i="1"/>
  <c r="T83" i="1"/>
  <c r="S83" i="1"/>
  <c r="R83" i="1"/>
  <c r="Q83" i="1"/>
  <c r="P83" i="1"/>
  <c r="V82" i="1"/>
  <c r="U82" i="1"/>
  <c r="T82" i="1"/>
  <c r="S82" i="1"/>
  <c r="R82" i="1"/>
  <c r="Q82" i="1"/>
  <c r="P82" i="1"/>
  <c r="V81" i="1"/>
  <c r="U81" i="1"/>
  <c r="T81" i="1"/>
  <c r="T89" i="1" s="1"/>
  <c r="S81" i="1"/>
  <c r="R81" i="1"/>
  <c r="Q81" i="1"/>
  <c r="P81" i="1"/>
  <c r="V80" i="1"/>
  <c r="U80" i="1"/>
  <c r="T80" i="1"/>
  <c r="S80" i="1"/>
  <c r="R80" i="1"/>
  <c r="Q80" i="1"/>
  <c r="P80" i="1"/>
  <c r="V79" i="1"/>
  <c r="U79" i="1"/>
  <c r="T79" i="1"/>
  <c r="S79" i="1"/>
  <c r="R79" i="1"/>
  <c r="Q79" i="1"/>
  <c r="P79" i="1"/>
  <c r="V78" i="1"/>
  <c r="V89" i="1" s="1"/>
  <c r="U78" i="1"/>
  <c r="U89" i="1" s="1"/>
  <c r="T78" i="1"/>
  <c r="S78" i="1"/>
  <c r="S89" i="1" s="1"/>
  <c r="R78" i="1"/>
  <c r="R89" i="1" s="1"/>
  <c r="Q78" i="1"/>
  <c r="Q89" i="1" s="1"/>
  <c r="P78" i="1"/>
  <c r="P89" i="1" l="1"/>
  <c r="P64" i="1"/>
</calcChain>
</file>

<file path=xl/sharedStrings.xml><?xml version="1.0" encoding="utf-8"?>
<sst xmlns="http://schemas.openxmlformats.org/spreadsheetml/2006/main" count="231" uniqueCount="77">
  <si>
    <t>100mv</t>
  </si>
  <si>
    <t>200mv</t>
  </si>
  <si>
    <t>300mv</t>
  </si>
  <si>
    <t>400mv</t>
  </si>
  <si>
    <t>500mv</t>
  </si>
  <si>
    <t>600mv</t>
  </si>
  <si>
    <t>70mmv</t>
  </si>
  <si>
    <t>800mv</t>
  </si>
  <si>
    <t>900mv</t>
  </si>
  <si>
    <t>1000mv</t>
  </si>
  <si>
    <t>** Tomamos el valor Mean de estadisticas despues de 32 medias.</t>
  </si>
  <si>
    <t>Hardware:</t>
  </si>
  <si>
    <t>====================================</t>
  </si>
  <si>
    <t>Cables lemo 5ns (canal 2 y 3)</t>
  </si>
  <si>
    <t>Oscilosciopio s/n C016316</t>
  </si>
  <si>
    <t>Placa Test: CTA0013</t>
  </si>
  <si>
    <t>Placa VGA: VGA001</t>
  </si>
  <si>
    <t>Configuracion medida:</t>
  </si>
  <si>
    <t>=====================================</t>
  </si>
  <si>
    <t>Osciloscopio encendido &gt;1 hora</t>
  </si>
  <si>
    <t>Placa encendida y funcionando &gt; 1 hora</t>
  </si>
  <si>
    <t>Configuracion Canal:</t>
  </si>
  <si>
    <t>Horizontal</t>
  </si>
  <si>
    <t>----------</t>
  </si>
  <si>
    <t>Base tiempos: 4.00 ns.</t>
  </si>
  <si>
    <t>Mode: Average 64</t>
  </si>
  <si>
    <t>Delay: On</t>
  </si>
  <si>
    <t>Medidas</t>
  </si>
  <si>
    <t>--------</t>
  </si>
  <si>
    <t>Estadisticas ON 32</t>
  </si>
  <si>
    <t>Canales</t>
  </si>
  <si>
    <t>-------</t>
  </si>
  <si>
    <t>50mv</t>
  </si>
  <si>
    <t>Canal 1</t>
  </si>
  <si>
    <t>Canal 2</t>
  </si>
  <si>
    <t>Canal 3</t>
  </si>
  <si>
    <t>Math 1</t>
  </si>
  <si>
    <t>Matematica M1</t>
  </si>
  <si>
    <t>-------------</t>
  </si>
  <si>
    <t>Trigger: Canal 2</t>
  </si>
  <si>
    <t>Canal 1 Medida 7 entradas Asic</t>
  </si>
  <si>
    <t>Canal 2 Medida positiva salida 8</t>
  </si>
  <si>
    <t>Canal 3 Medida negativa Salida 8</t>
  </si>
  <si>
    <t>50mV</t>
  </si>
  <si>
    <t>Posicion</t>
  </si>
  <si>
    <t>Codigo</t>
  </si>
  <si>
    <t>V Canal 1 (2)</t>
  </si>
  <si>
    <t>V Canal 1 (3)</t>
  </si>
  <si>
    <t>V Canal 1 (1)</t>
  </si>
  <si>
    <t>V Canal 1 (4)</t>
  </si>
  <si>
    <t>V Canal 1 (5)</t>
  </si>
  <si>
    <t>V Canal 1 (6)</t>
  </si>
  <si>
    <t>V Canal 1 (7)</t>
  </si>
  <si>
    <t>V Canal 1 (0)</t>
  </si>
  <si>
    <t>Div Canal2 y 3</t>
  </si>
  <si>
    <t>Div Math1 Canal 1</t>
  </si>
  <si>
    <t>300mV</t>
  </si>
  <si>
    <t>700mv</t>
  </si>
  <si>
    <t>10mv</t>
  </si>
  <si>
    <t>5mv</t>
  </si>
  <si>
    <t>temperatura</t>
  </si>
  <si>
    <t>20mv</t>
  </si>
  <si>
    <t>SIN ASIC</t>
  </si>
  <si>
    <t>Sonda s/n: B019014 (canal 1)</t>
  </si>
  <si>
    <t>Tº</t>
  </si>
  <si>
    <t>Metodo de medida:</t>
  </si>
  <si>
    <t>Espero 10 seg</t>
  </si>
  <si>
    <t>Con el boton Measure, menu Statistic pulso Reset Statistics.</t>
  </si>
  <si>
    <t>Coloco la sonda en el canal.</t>
  </si>
  <si>
    <t>Si Std Dev de la medida es menor de5 00uV adquiero la medida Mean (parecida a Value), en caso contrario repito el 2 pasos atras.</t>
  </si>
  <si>
    <t>Sonda claramente saturada</t>
  </si>
  <si>
    <t>Valor diferente si la sonda esta pinchada!</t>
  </si>
  <si>
    <t>(Sin sonda)</t>
  </si>
  <si>
    <t>CON ASIC 1630</t>
  </si>
  <si>
    <t>cod</t>
  </si>
  <si>
    <t>vmath</t>
  </si>
  <si>
    <t xml:space="preserve">SIN ASIC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</si>
</sst>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0" xfId="0" applyFont="1"/>
    <xf numFmtId="0" fontId="1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</c:v>
          </c:tx>
          <c:trendline>
            <c:trendlineType val="linear"/>
            <c:dispRSqr val="1"/>
            <c:dispEq val="1"/>
            <c:trendlineLbl>
              <c:layout>
                <c:manualLayout>
                  <c:x val="-0.1213058527046669"/>
                  <c:y val="0.33337508392846243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Hoja1!$B$53:$B$63</c:f>
              <c:numCache>
                <c:formatCode>General</c:formatCode>
                <c:ptCount val="11"/>
                <c:pt idx="0">
                  <c:v>5</c:v>
                </c:pt>
                <c:pt idx="1">
                  <c:v>9</c:v>
                </c:pt>
                <c:pt idx="2">
                  <c:v>18</c:v>
                </c:pt>
                <c:pt idx="3">
                  <c:v>28</c:v>
                </c:pt>
                <c:pt idx="4">
                  <c:v>40</c:v>
                </c:pt>
                <c:pt idx="5">
                  <c:v>50</c:v>
                </c:pt>
                <c:pt idx="6">
                  <c:v>62</c:v>
                </c:pt>
                <c:pt idx="7">
                  <c:v>74</c:v>
                </c:pt>
                <c:pt idx="8">
                  <c:v>86</c:v>
                </c:pt>
                <c:pt idx="9">
                  <c:v>102</c:v>
                </c:pt>
                <c:pt idx="10">
                  <c:v>115</c:v>
                </c:pt>
              </c:numCache>
            </c:numRef>
          </c:xVal>
          <c:yVal>
            <c:numRef>
              <c:f>Hoja1!$E$53:$E$63</c:f>
              <c:numCache>
                <c:formatCode>General</c:formatCode>
                <c:ptCount val="11"/>
                <c:pt idx="0">
                  <c:v>53.4</c:v>
                </c:pt>
                <c:pt idx="1">
                  <c:v>95.8</c:v>
                </c:pt>
                <c:pt idx="2">
                  <c:v>195.4</c:v>
                </c:pt>
                <c:pt idx="3">
                  <c:v>299.39999999999998</c:v>
                </c:pt>
                <c:pt idx="4">
                  <c:v>405.2</c:v>
                </c:pt>
                <c:pt idx="5">
                  <c:v>504.8</c:v>
                </c:pt>
                <c:pt idx="6">
                  <c:v>597.9</c:v>
                </c:pt>
                <c:pt idx="7">
                  <c:v>696.1</c:v>
                </c:pt>
                <c:pt idx="8">
                  <c:v>798.9</c:v>
                </c:pt>
                <c:pt idx="9">
                  <c:v>899.2</c:v>
                </c:pt>
                <c:pt idx="10">
                  <c:v>993.3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79552"/>
        <c:axId val="168274944"/>
      </c:scatterChart>
      <c:valAx>
        <c:axId val="16907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274944"/>
        <c:crosses val="autoZero"/>
        <c:crossBetween val="midCat"/>
      </c:valAx>
      <c:valAx>
        <c:axId val="16827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0795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27</xdr:row>
      <xdr:rowOff>142875</xdr:rowOff>
    </xdr:from>
    <xdr:to>
      <xdr:col>22</xdr:col>
      <xdr:colOff>609600</xdr:colOff>
      <xdr:row>49</xdr:row>
      <xdr:rowOff>47625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6"/>
  <sheetViews>
    <sheetView tabSelected="1" topLeftCell="A79" workbookViewId="0">
      <selection activeCell="F111" sqref="F111"/>
    </sheetView>
  </sheetViews>
  <sheetFormatPr baseColWidth="10" defaultRowHeight="15" x14ac:dyDescent="0.25"/>
  <cols>
    <col min="3" max="3" width="7.85546875" customWidth="1"/>
    <col min="4" max="4" width="8.28515625" customWidth="1"/>
    <col min="5" max="5" width="10.85546875" customWidth="1"/>
    <col min="6" max="14" width="9" customWidth="1"/>
  </cols>
  <sheetData>
    <row r="1" spans="1:2" x14ac:dyDescent="0.25">
      <c r="A1">
        <v>2</v>
      </c>
      <c r="B1" t="s">
        <v>0</v>
      </c>
    </row>
    <row r="2" spans="1:2" x14ac:dyDescent="0.25">
      <c r="A2">
        <v>3</v>
      </c>
      <c r="B2" t="s">
        <v>1</v>
      </c>
    </row>
    <row r="3" spans="1:2" x14ac:dyDescent="0.25">
      <c r="A3">
        <v>4</v>
      </c>
      <c r="B3" t="s">
        <v>2</v>
      </c>
    </row>
    <row r="4" spans="1:2" x14ac:dyDescent="0.25">
      <c r="A4">
        <v>5</v>
      </c>
      <c r="B4" t="s">
        <v>3</v>
      </c>
    </row>
    <row r="5" spans="1:2" x14ac:dyDescent="0.25">
      <c r="A5">
        <v>6</v>
      </c>
      <c r="B5" t="s">
        <v>4</v>
      </c>
    </row>
    <row r="6" spans="1:2" x14ac:dyDescent="0.25">
      <c r="A6">
        <v>7</v>
      </c>
      <c r="B6" t="s">
        <v>5</v>
      </c>
    </row>
    <row r="7" spans="1:2" x14ac:dyDescent="0.25">
      <c r="A7">
        <v>8</v>
      </c>
      <c r="B7" t="s">
        <v>6</v>
      </c>
    </row>
    <row r="8" spans="1:2" x14ac:dyDescent="0.25">
      <c r="A8">
        <v>9</v>
      </c>
      <c r="B8" t="s">
        <v>7</v>
      </c>
    </row>
    <row r="9" spans="1:2" x14ac:dyDescent="0.25">
      <c r="A9">
        <v>10</v>
      </c>
      <c r="B9" t="s">
        <v>8</v>
      </c>
    </row>
    <row r="10" spans="1:2" x14ac:dyDescent="0.25">
      <c r="A10">
        <v>11</v>
      </c>
      <c r="B10" t="s">
        <v>9</v>
      </c>
    </row>
    <row r="12" spans="1:2" x14ac:dyDescent="0.25">
      <c r="A12" t="s">
        <v>10</v>
      </c>
    </row>
    <row r="14" spans="1:2" x14ac:dyDescent="0.25">
      <c r="A14" t="s">
        <v>11</v>
      </c>
    </row>
    <row r="15" spans="1:2" x14ac:dyDescent="0.25">
      <c r="A15" t="s">
        <v>12</v>
      </c>
    </row>
    <row r="16" spans="1:2" x14ac:dyDescent="0.25">
      <c r="A16" t="s">
        <v>63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30" spans="1:1" x14ac:dyDescent="0.25">
      <c r="A30" t="s">
        <v>21</v>
      </c>
    </row>
    <row r="31" spans="1:1" x14ac:dyDescent="0.25">
      <c r="A31" t="s">
        <v>18</v>
      </c>
    </row>
    <row r="33" spans="1:9" x14ac:dyDescent="0.25">
      <c r="A33" t="s">
        <v>22</v>
      </c>
    </row>
    <row r="34" spans="1:9" x14ac:dyDescent="0.25">
      <c r="A34" t="s">
        <v>23</v>
      </c>
    </row>
    <row r="35" spans="1:9" x14ac:dyDescent="0.25">
      <c r="B35" t="s">
        <v>24</v>
      </c>
      <c r="G35" t="s">
        <v>75</v>
      </c>
      <c r="H35" t="s">
        <v>74</v>
      </c>
    </row>
    <row r="36" spans="1:9" x14ac:dyDescent="0.25">
      <c r="B36" t="s">
        <v>25</v>
      </c>
      <c r="G36">
        <v>62</v>
      </c>
      <c r="H36">
        <f>(9.1713*G36)+26.132</f>
        <v>594.75260000000003</v>
      </c>
    </row>
    <row r="37" spans="1:9" x14ac:dyDescent="0.25">
      <c r="B37" t="s">
        <v>26</v>
      </c>
    </row>
    <row r="38" spans="1:9" x14ac:dyDescent="0.25">
      <c r="B38" t="s">
        <v>39</v>
      </c>
    </row>
    <row r="39" spans="1:9" x14ac:dyDescent="0.25">
      <c r="A39" t="s">
        <v>27</v>
      </c>
      <c r="I39">
        <v>50</v>
      </c>
    </row>
    <row r="40" spans="1:9" x14ac:dyDescent="0.25">
      <c r="A40" t="s">
        <v>28</v>
      </c>
      <c r="I40">
        <v>100</v>
      </c>
    </row>
    <row r="41" spans="1:9" x14ac:dyDescent="0.25">
      <c r="B41" t="s">
        <v>29</v>
      </c>
      <c r="I41">
        <v>200</v>
      </c>
    </row>
    <row r="42" spans="1:9" x14ac:dyDescent="0.25">
      <c r="I42">
        <v>300</v>
      </c>
    </row>
    <row r="43" spans="1:9" x14ac:dyDescent="0.25">
      <c r="A43" t="s">
        <v>30</v>
      </c>
      <c r="I43">
        <v>400</v>
      </c>
    </row>
    <row r="44" spans="1:9" x14ac:dyDescent="0.25">
      <c r="A44" t="s">
        <v>31</v>
      </c>
      <c r="I44">
        <v>500</v>
      </c>
    </row>
    <row r="45" spans="1:9" x14ac:dyDescent="0.25">
      <c r="B45" t="s">
        <v>33</v>
      </c>
      <c r="C45" t="s">
        <v>34</v>
      </c>
      <c r="D45" t="s">
        <v>35</v>
      </c>
      <c r="E45" t="s">
        <v>36</v>
      </c>
      <c r="I45">
        <v>600</v>
      </c>
    </row>
    <row r="46" spans="1:9" x14ac:dyDescent="0.25">
      <c r="A46" t="s">
        <v>44</v>
      </c>
      <c r="B46">
        <v>-3.6</v>
      </c>
      <c r="C46">
        <v>-3.6</v>
      </c>
      <c r="D46">
        <v>3.6</v>
      </c>
      <c r="E46">
        <v>-3.6</v>
      </c>
      <c r="I46">
        <v>700</v>
      </c>
    </row>
    <row r="47" spans="1:9" x14ac:dyDescent="0.25">
      <c r="I47">
        <v>800</v>
      </c>
    </row>
    <row r="48" spans="1:9" x14ac:dyDescent="0.25">
      <c r="I48">
        <v>900</v>
      </c>
    </row>
    <row r="49" spans="1:30" x14ac:dyDescent="0.25">
      <c r="A49" t="s">
        <v>60</v>
      </c>
      <c r="B49">
        <v>28.125</v>
      </c>
      <c r="I49">
        <v>1000</v>
      </c>
    </row>
    <row r="50" spans="1:30" ht="15.75" thickBot="1" x14ac:dyDescent="0.3"/>
    <row r="51" spans="1:30" ht="21.75" thickBot="1" x14ac:dyDescent="0.4">
      <c r="B51" s="1" t="s">
        <v>62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1:30" s="9" customFormat="1" ht="45.75" thickBot="1" x14ac:dyDescent="0.3">
      <c r="A52" s="4"/>
      <c r="B52" s="4" t="s">
        <v>45</v>
      </c>
      <c r="C52" s="5" t="s">
        <v>55</v>
      </c>
      <c r="D52" s="6" t="s">
        <v>54</v>
      </c>
      <c r="E52" s="4" t="s">
        <v>36</v>
      </c>
      <c r="F52" s="7" t="s">
        <v>46</v>
      </c>
      <c r="G52" s="7" t="s">
        <v>47</v>
      </c>
      <c r="H52" s="7" t="s">
        <v>48</v>
      </c>
      <c r="I52" s="7" t="s">
        <v>49</v>
      </c>
      <c r="J52" s="7" t="s">
        <v>50</v>
      </c>
      <c r="K52" s="7" t="s">
        <v>52</v>
      </c>
      <c r="L52" s="7" t="s">
        <v>51</v>
      </c>
      <c r="M52" s="4" t="s">
        <v>53</v>
      </c>
      <c r="N52" s="8" t="s">
        <v>64</v>
      </c>
      <c r="P52" s="5" t="s">
        <v>46</v>
      </c>
      <c r="Q52" s="7" t="s">
        <v>47</v>
      </c>
      <c r="R52" s="7" t="s">
        <v>48</v>
      </c>
      <c r="S52" s="7" t="s">
        <v>49</v>
      </c>
      <c r="T52" s="7" t="s">
        <v>50</v>
      </c>
      <c r="U52" s="7" t="s">
        <v>52</v>
      </c>
      <c r="V52" s="6" t="s">
        <v>51</v>
      </c>
      <c r="X52" s="5" t="s">
        <v>46</v>
      </c>
      <c r="Y52" s="7" t="s">
        <v>47</v>
      </c>
      <c r="Z52" s="7" t="s">
        <v>48</v>
      </c>
      <c r="AA52" s="7" t="s">
        <v>49</v>
      </c>
      <c r="AB52" s="7" t="s">
        <v>50</v>
      </c>
      <c r="AC52" s="7" t="s">
        <v>52</v>
      </c>
      <c r="AD52" s="6" t="s">
        <v>51</v>
      </c>
    </row>
    <row r="53" spans="1:30" x14ac:dyDescent="0.25">
      <c r="A53" s="11" t="s">
        <v>43</v>
      </c>
      <c r="B53" s="11">
        <v>5</v>
      </c>
      <c r="C53" s="10" t="s">
        <v>58</v>
      </c>
      <c r="D53" s="14" t="s">
        <v>59</v>
      </c>
      <c r="E53" s="29">
        <v>53.4</v>
      </c>
      <c r="F53" s="15">
        <v>56.2</v>
      </c>
      <c r="G53" s="15">
        <v>56.4</v>
      </c>
      <c r="H53" s="15">
        <v>56.4</v>
      </c>
      <c r="I53" s="15">
        <v>56.3</v>
      </c>
      <c r="J53" s="15">
        <v>55.7</v>
      </c>
      <c r="K53" s="15">
        <v>56.1</v>
      </c>
      <c r="L53" s="15">
        <v>55.5</v>
      </c>
      <c r="M53" s="11">
        <v>56.4</v>
      </c>
      <c r="N53" s="11">
        <v>28.125</v>
      </c>
      <c r="O53">
        <f>+M53/E53</f>
        <v>1.0561797752808988</v>
      </c>
      <c r="P53" s="22">
        <f>+F53-$E53</f>
        <v>2.8000000000000043</v>
      </c>
      <c r="Q53" s="22">
        <f t="shared" ref="Q53:V63" si="0">+G53-$E53</f>
        <v>3</v>
      </c>
      <c r="R53" s="22">
        <f t="shared" si="0"/>
        <v>3</v>
      </c>
      <c r="S53" s="22">
        <f t="shared" si="0"/>
        <v>2.8999999999999986</v>
      </c>
      <c r="T53" s="22">
        <f t="shared" si="0"/>
        <v>2.3000000000000043</v>
      </c>
      <c r="U53" s="22">
        <f t="shared" si="0"/>
        <v>2.7000000000000028</v>
      </c>
      <c r="V53" s="22">
        <f t="shared" si="0"/>
        <v>2.1000000000000014</v>
      </c>
      <c r="X53" s="22">
        <f>F53/$M53</f>
        <v>0.99645390070921991</v>
      </c>
      <c r="Y53" s="22">
        <f t="shared" ref="Y53:AD63" si="1">G53/$M53</f>
        <v>1</v>
      </c>
      <c r="Z53" s="22">
        <f t="shared" si="1"/>
        <v>1</v>
      </c>
      <c r="AA53" s="22">
        <f t="shared" si="1"/>
        <v>0.99822695035460995</v>
      </c>
      <c r="AB53" s="22">
        <f t="shared" si="1"/>
        <v>0.98758865248226957</v>
      </c>
      <c r="AC53" s="22">
        <f t="shared" si="1"/>
        <v>0.99468085106382986</v>
      </c>
      <c r="AD53" s="22">
        <f t="shared" si="1"/>
        <v>0.98404255319148937</v>
      </c>
    </row>
    <row r="54" spans="1:30" x14ac:dyDescent="0.25">
      <c r="A54" s="16" t="s">
        <v>0</v>
      </c>
      <c r="B54" s="16">
        <v>9</v>
      </c>
      <c r="C54" s="17" t="s">
        <v>61</v>
      </c>
      <c r="D54" s="18" t="s">
        <v>58</v>
      </c>
      <c r="E54" s="30">
        <v>95.8</v>
      </c>
      <c r="F54" s="19">
        <v>100.5</v>
      </c>
      <c r="G54" s="19">
        <v>100.8</v>
      </c>
      <c r="H54" s="19">
        <v>100.3</v>
      </c>
      <c r="I54" s="19">
        <v>101.1</v>
      </c>
      <c r="J54" s="19">
        <v>99.7</v>
      </c>
      <c r="K54" s="19">
        <v>100.1</v>
      </c>
      <c r="L54" s="19">
        <v>98.9</v>
      </c>
      <c r="M54" s="16">
        <v>100.7</v>
      </c>
      <c r="N54" s="16">
        <v>28.125</v>
      </c>
      <c r="O54">
        <f t="shared" ref="O54:O63" si="2">+M54/E54</f>
        <v>1.0511482254697286</v>
      </c>
      <c r="P54" s="22">
        <f t="shared" ref="P54:P63" si="3">+F54-$E54</f>
        <v>4.7000000000000028</v>
      </c>
      <c r="Q54" s="22">
        <f t="shared" si="0"/>
        <v>5</v>
      </c>
      <c r="R54" s="22">
        <f t="shared" si="0"/>
        <v>4.5</v>
      </c>
      <c r="S54" s="22">
        <f t="shared" si="0"/>
        <v>5.2999999999999972</v>
      </c>
      <c r="T54" s="22">
        <f t="shared" si="0"/>
        <v>3.9000000000000057</v>
      </c>
      <c r="U54" s="22">
        <f t="shared" si="0"/>
        <v>4.2999999999999972</v>
      </c>
      <c r="V54" s="22">
        <f t="shared" si="0"/>
        <v>3.1000000000000085</v>
      </c>
      <c r="X54" s="22">
        <f t="shared" ref="X54:X63" si="4">F54/$M54</f>
        <v>0.99801390268123136</v>
      </c>
      <c r="Y54" s="22">
        <f t="shared" si="1"/>
        <v>1.0009930486593843</v>
      </c>
      <c r="Z54" s="22">
        <f t="shared" si="1"/>
        <v>0.99602780536246271</v>
      </c>
      <c r="AA54" s="22">
        <f t="shared" si="1"/>
        <v>1.0039721946375371</v>
      </c>
      <c r="AB54" s="22">
        <f t="shared" si="1"/>
        <v>0.9900695134061569</v>
      </c>
      <c r="AC54" s="22">
        <f t="shared" si="1"/>
        <v>0.99404170804369407</v>
      </c>
      <c r="AD54" s="22">
        <f t="shared" si="1"/>
        <v>0.98212512413108244</v>
      </c>
    </row>
    <row r="55" spans="1:30" x14ac:dyDescent="0.25">
      <c r="A55" s="11" t="s">
        <v>1</v>
      </c>
      <c r="B55" s="11">
        <v>18</v>
      </c>
      <c r="C55" s="10" t="s">
        <v>32</v>
      </c>
      <c r="D55" s="14" t="s">
        <v>61</v>
      </c>
      <c r="E55" s="29">
        <v>195.4</v>
      </c>
      <c r="F55" s="15">
        <v>204.5</v>
      </c>
      <c r="G55" s="20">
        <v>205.9</v>
      </c>
      <c r="H55" s="20">
        <v>205.1</v>
      </c>
      <c r="I55" s="20">
        <v>206.3</v>
      </c>
      <c r="J55" s="20">
        <v>203.8</v>
      </c>
      <c r="K55" s="20">
        <v>205.2</v>
      </c>
      <c r="L55" s="20">
        <v>202.3</v>
      </c>
      <c r="M55" s="11">
        <v>205.2</v>
      </c>
      <c r="N55" s="11">
        <v>27.625</v>
      </c>
      <c r="O55">
        <f t="shared" si="2"/>
        <v>1.0501535312180141</v>
      </c>
      <c r="P55" s="22">
        <f t="shared" si="3"/>
        <v>9.0999999999999943</v>
      </c>
      <c r="Q55" s="22">
        <f t="shared" si="0"/>
        <v>10.5</v>
      </c>
      <c r="R55" s="22">
        <f t="shared" si="0"/>
        <v>9.6999999999999886</v>
      </c>
      <c r="S55" s="22">
        <f t="shared" si="0"/>
        <v>10.900000000000006</v>
      </c>
      <c r="T55" s="22">
        <f t="shared" si="0"/>
        <v>8.4000000000000057</v>
      </c>
      <c r="U55" s="22">
        <f t="shared" si="0"/>
        <v>9.7999999999999829</v>
      </c>
      <c r="V55" s="22">
        <f t="shared" si="0"/>
        <v>6.9000000000000057</v>
      </c>
      <c r="X55" s="22">
        <f t="shared" si="4"/>
        <v>0.99658869395711502</v>
      </c>
      <c r="Y55" s="22">
        <f t="shared" si="1"/>
        <v>1.0034113060428851</v>
      </c>
      <c r="Z55" s="22">
        <f t="shared" si="1"/>
        <v>0.99951267056530213</v>
      </c>
      <c r="AA55" s="22">
        <f t="shared" si="1"/>
        <v>1.0053606237816766</v>
      </c>
      <c r="AB55" s="22">
        <f t="shared" si="1"/>
        <v>0.99317738791423016</v>
      </c>
      <c r="AC55" s="22">
        <f t="shared" si="1"/>
        <v>1</v>
      </c>
      <c r="AD55" s="22">
        <f t="shared" si="1"/>
        <v>0.98586744639376234</v>
      </c>
    </row>
    <row r="56" spans="1:30" x14ac:dyDescent="0.25">
      <c r="A56" s="16" t="s">
        <v>56</v>
      </c>
      <c r="B56" s="16">
        <v>28</v>
      </c>
      <c r="C56" s="17" t="s">
        <v>32</v>
      </c>
      <c r="D56" s="18" t="s">
        <v>32</v>
      </c>
      <c r="E56" s="30">
        <v>299.39999999999998</v>
      </c>
      <c r="F56" s="19">
        <v>310.39999999999998</v>
      </c>
      <c r="G56" s="19">
        <v>311.5</v>
      </c>
      <c r="H56" s="19">
        <v>310.60000000000002</v>
      </c>
      <c r="I56" s="19">
        <v>311.89999999999998</v>
      </c>
      <c r="J56" s="19">
        <v>309.5</v>
      </c>
      <c r="K56" s="19">
        <v>310.10000000000002</v>
      </c>
      <c r="L56" s="19">
        <v>306.7</v>
      </c>
      <c r="M56" s="16">
        <v>312.2</v>
      </c>
      <c r="N56" s="16">
        <v>27.625</v>
      </c>
      <c r="O56">
        <f t="shared" si="2"/>
        <v>1.042752171008684</v>
      </c>
      <c r="P56" s="22">
        <f t="shared" si="3"/>
        <v>11</v>
      </c>
      <c r="Q56" s="22">
        <f t="shared" si="0"/>
        <v>12.100000000000023</v>
      </c>
      <c r="R56" s="22">
        <f t="shared" si="0"/>
        <v>11.200000000000045</v>
      </c>
      <c r="S56" s="22">
        <f t="shared" si="0"/>
        <v>12.5</v>
      </c>
      <c r="T56" s="22">
        <f t="shared" si="0"/>
        <v>10.100000000000023</v>
      </c>
      <c r="U56" s="22">
        <f t="shared" si="0"/>
        <v>10.700000000000045</v>
      </c>
      <c r="V56" s="22">
        <f t="shared" si="0"/>
        <v>7.3000000000000114</v>
      </c>
      <c r="X56" s="22">
        <f t="shared" si="4"/>
        <v>0.99423446508648294</v>
      </c>
      <c r="Y56" s="22">
        <f t="shared" si="1"/>
        <v>0.99775784753363228</v>
      </c>
      <c r="Z56" s="22">
        <f t="shared" si="1"/>
        <v>0.99487508007687386</v>
      </c>
      <c r="AA56" s="22">
        <f t="shared" si="1"/>
        <v>0.99903907751441379</v>
      </c>
      <c r="AB56" s="22">
        <f t="shared" si="1"/>
        <v>0.99135169762972453</v>
      </c>
      <c r="AC56" s="22">
        <f t="shared" si="1"/>
        <v>0.99327354260089695</v>
      </c>
      <c r="AD56" s="22">
        <f t="shared" si="1"/>
        <v>0.98238308776425365</v>
      </c>
    </row>
    <row r="57" spans="1:30" x14ac:dyDescent="0.25">
      <c r="A57" s="11" t="s">
        <v>3</v>
      </c>
      <c r="B57" s="11">
        <v>40</v>
      </c>
      <c r="C57" s="10" t="s">
        <v>0</v>
      </c>
      <c r="D57" s="14" t="s">
        <v>32</v>
      </c>
      <c r="E57" s="29">
        <v>405.2</v>
      </c>
      <c r="F57" s="20">
        <v>424.1</v>
      </c>
      <c r="G57" s="20">
        <v>425.5</v>
      </c>
      <c r="H57" s="20">
        <v>423.9</v>
      </c>
      <c r="I57" s="20">
        <v>425.8</v>
      </c>
      <c r="J57" s="20">
        <v>422.1</v>
      </c>
      <c r="K57" s="20">
        <v>424.3</v>
      </c>
      <c r="L57" s="20">
        <v>416.6</v>
      </c>
      <c r="M57" s="11">
        <v>422.8</v>
      </c>
      <c r="N57" s="11">
        <v>27.625</v>
      </c>
      <c r="O57">
        <f t="shared" si="2"/>
        <v>1.0434353405725567</v>
      </c>
      <c r="P57" s="22">
        <f t="shared" si="3"/>
        <v>18.900000000000034</v>
      </c>
      <c r="Q57" s="22">
        <f t="shared" si="0"/>
        <v>20.300000000000011</v>
      </c>
      <c r="R57" s="22">
        <f t="shared" si="0"/>
        <v>18.699999999999989</v>
      </c>
      <c r="S57" s="22">
        <f t="shared" si="0"/>
        <v>20.600000000000023</v>
      </c>
      <c r="T57" s="22">
        <f t="shared" si="0"/>
        <v>16.900000000000034</v>
      </c>
      <c r="U57" s="22">
        <f t="shared" si="0"/>
        <v>19.100000000000023</v>
      </c>
      <c r="V57" s="22">
        <f t="shared" si="0"/>
        <v>11.400000000000034</v>
      </c>
      <c r="X57" s="22">
        <f t="shared" si="4"/>
        <v>1.0030747398297069</v>
      </c>
      <c r="Y57" s="22">
        <f t="shared" si="1"/>
        <v>1.0063859981078525</v>
      </c>
      <c r="Z57" s="22">
        <f t="shared" si="1"/>
        <v>1.0026017029328287</v>
      </c>
      <c r="AA57" s="22">
        <f t="shared" si="1"/>
        <v>1.0070955534531694</v>
      </c>
      <c r="AB57" s="22">
        <f t="shared" si="1"/>
        <v>0.9983443708609272</v>
      </c>
      <c r="AC57" s="22">
        <f t="shared" si="1"/>
        <v>1.0035477767265846</v>
      </c>
      <c r="AD57" s="22">
        <f t="shared" si="1"/>
        <v>0.98533585619678332</v>
      </c>
    </row>
    <row r="58" spans="1:30" x14ac:dyDescent="0.25">
      <c r="A58" s="16" t="s">
        <v>4</v>
      </c>
      <c r="B58" s="16">
        <v>50</v>
      </c>
      <c r="C58" s="17" t="s">
        <v>0</v>
      </c>
      <c r="D58" s="18" t="s">
        <v>32</v>
      </c>
      <c r="E58" s="30">
        <v>504.8</v>
      </c>
      <c r="F58" s="19">
        <v>525.20000000000005</v>
      </c>
      <c r="G58" s="19">
        <v>528.9</v>
      </c>
      <c r="H58" s="19">
        <v>527.1</v>
      </c>
      <c r="I58" s="19">
        <v>529.1</v>
      </c>
      <c r="J58" s="19">
        <v>521.70000000000005</v>
      </c>
      <c r="K58" s="19">
        <v>523.9</v>
      </c>
      <c r="L58" s="19">
        <v>518.5</v>
      </c>
      <c r="M58" s="16">
        <v>526.6</v>
      </c>
      <c r="N58" s="16">
        <v>27.625</v>
      </c>
      <c r="O58">
        <f t="shared" si="2"/>
        <v>1.0431854199683044</v>
      </c>
      <c r="P58" s="22">
        <f t="shared" si="3"/>
        <v>20.400000000000034</v>
      </c>
      <c r="Q58" s="22">
        <f t="shared" si="0"/>
        <v>24.099999999999966</v>
      </c>
      <c r="R58" s="22">
        <f t="shared" si="0"/>
        <v>22.300000000000011</v>
      </c>
      <c r="S58" s="22">
        <f t="shared" si="0"/>
        <v>24.300000000000011</v>
      </c>
      <c r="T58" s="22">
        <f t="shared" si="0"/>
        <v>16.900000000000034</v>
      </c>
      <c r="U58" s="22">
        <f t="shared" si="0"/>
        <v>19.099999999999966</v>
      </c>
      <c r="V58" s="22">
        <f t="shared" si="0"/>
        <v>13.699999999999989</v>
      </c>
      <c r="X58" s="22">
        <f t="shared" si="4"/>
        <v>0.99734143562476263</v>
      </c>
      <c r="Y58" s="22">
        <f t="shared" si="1"/>
        <v>1.0043676414736042</v>
      </c>
      <c r="Z58" s="22">
        <f t="shared" si="1"/>
        <v>1.0009494872768705</v>
      </c>
      <c r="AA58" s="22">
        <f t="shared" si="1"/>
        <v>1.0047474363843525</v>
      </c>
      <c r="AB58" s="22">
        <f t="shared" si="1"/>
        <v>0.99069502468666926</v>
      </c>
      <c r="AC58" s="22">
        <f t="shared" si="1"/>
        <v>0.99487276870489927</v>
      </c>
      <c r="AD58" s="22">
        <f t="shared" si="1"/>
        <v>0.98461830611469803</v>
      </c>
    </row>
    <row r="59" spans="1:30" x14ac:dyDescent="0.25">
      <c r="A59" s="11" t="s">
        <v>5</v>
      </c>
      <c r="B59" s="11">
        <v>62</v>
      </c>
      <c r="C59" s="10" t="s">
        <v>0</v>
      </c>
      <c r="D59" s="14" t="s">
        <v>32</v>
      </c>
      <c r="E59" s="29">
        <v>597.9</v>
      </c>
      <c r="F59" s="20">
        <v>622.29999999999995</v>
      </c>
      <c r="G59" s="20">
        <v>625.79999999999995</v>
      </c>
      <c r="H59" s="20">
        <v>622.9</v>
      </c>
      <c r="I59" s="20">
        <v>625.79999999999995</v>
      </c>
      <c r="J59" s="20">
        <v>620.5</v>
      </c>
      <c r="K59" s="20">
        <v>622.1</v>
      </c>
      <c r="L59" s="20">
        <v>616.1</v>
      </c>
      <c r="M59" s="11">
        <v>627.5</v>
      </c>
      <c r="N59" s="11">
        <v>27.625</v>
      </c>
      <c r="O59">
        <f t="shared" si="2"/>
        <v>1.0495066064559291</v>
      </c>
      <c r="P59" s="22">
        <f t="shared" si="3"/>
        <v>24.399999999999977</v>
      </c>
      <c r="Q59" s="22">
        <f t="shared" si="0"/>
        <v>27.899999999999977</v>
      </c>
      <c r="R59" s="22">
        <f t="shared" si="0"/>
        <v>25</v>
      </c>
      <c r="S59" s="22">
        <f t="shared" si="0"/>
        <v>27.899999999999977</v>
      </c>
      <c r="T59" s="22">
        <f t="shared" si="0"/>
        <v>22.600000000000023</v>
      </c>
      <c r="U59" s="22">
        <f t="shared" si="0"/>
        <v>24.200000000000045</v>
      </c>
      <c r="V59" s="22">
        <f t="shared" si="0"/>
        <v>18.200000000000045</v>
      </c>
      <c r="X59" s="22">
        <f t="shared" si="4"/>
        <v>0.99171314741035854</v>
      </c>
      <c r="Y59" s="22">
        <f t="shared" si="1"/>
        <v>0.99729083665338636</v>
      </c>
      <c r="Z59" s="22">
        <f t="shared" si="1"/>
        <v>0.9926693227091633</v>
      </c>
      <c r="AA59" s="22">
        <f t="shared" si="1"/>
        <v>0.99729083665338636</v>
      </c>
      <c r="AB59" s="22">
        <f t="shared" si="1"/>
        <v>0.98884462151394426</v>
      </c>
      <c r="AC59" s="22">
        <f t="shared" si="1"/>
        <v>0.99139442231075703</v>
      </c>
      <c r="AD59" s="22">
        <f t="shared" si="1"/>
        <v>0.98183266932270918</v>
      </c>
    </row>
    <row r="60" spans="1:30" x14ac:dyDescent="0.25">
      <c r="A60" s="16" t="s">
        <v>57</v>
      </c>
      <c r="B60" s="16">
        <v>74</v>
      </c>
      <c r="C60" s="17" t="s">
        <v>1</v>
      </c>
      <c r="D60" s="18" t="s">
        <v>0</v>
      </c>
      <c r="E60" s="30">
        <v>696.1</v>
      </c>
      <c r="F60" s="19">
        <v>717.9</v>
      </c>
      <c r="G60" s="19">
        <v>721.1</v>
      </c>
      <c r="H60" s="19">
        <v>718.5</v>
      </c>
      <c r="I60" s="19">
        <v>721.5</v>
      </c>
      <c r="J60" s="19">
        <v>714.1</v>
      </c>
      <c r="K60" s="19">
        <v>715.2</v>
      </c>
      <c r="L60" s="19">
        <v>709.5</v>
      </c>
      <c r="M60" s="16">
        <v>721.1</v>
      </c>
      <c r="N60" s="16">
        <v>27.9375</v>
      </c>
      <c r="O60">
        <f t="shared" si="2"/>
        <v>1.0359143801177992</v>
      </c>
      <c r="P60" s="22">
        <f t="shared" si="3"/>
        <v>21.799999999999955</v>
      </c>
      <c r="Q60" s="22">
        <f t="shared" si="0"/>
        <v>25</v>
      </c>
      <c r="R60" s="22">
        <f t="shared" si="0"/>
        <v>22.399999999999977</v>
      </c>
      <c r="S60" s="22">
        <f t="shared" si="0"/>
        <v>25.399999999999977</v>
      </c>
      <c r="T60" s="22">
        <f t="shared" si="0"/>
        <v>18</v>
      </c>
      <c r="U60" s="22">
        <f t="shared" si="0"/>
        <v>19.100000000000023</v>
      </c>
      <c r="V60" s="22">
        <f t="shared" si="0"/>
        <v>13.399999999999977</v>
      </c>
      <c r="X60" s="22">
        <f t="shared" si="4"/>
        <v>0.99556233532103722</v>
      </c>
      <c r="Y60" s="22">
        <f t="shared" si="1"/>
        <v>1</v>
      </c>
      <c r="Z60" s="22">
        <f t="shared" si="1"/>
        <v>0.99639439744834279</v>
      </c>
      <c r="AA60" s="22">
        <f t="shared" si="1"/>
        <v>1.0005547080848702</v>
      </c>
      <c r="AB60" s="22">
        <f t="shared" si="1"/>
        <v>0.99029260851476908</v>
      </c>
      <c r="AC60" s="22">
        <f t="shared" si="1"/>
        <v>0.99181805574816251</v>
      </c>
      <c r="AD60" s="22">
        <f t="shared" si="1"/>
        <v>0.98391346553876025</v>
      </c>
    </row>
    <row r="61" spans="1:30" x14ac:dyDescent="0.25">
      <c r="A61" s="11" t="s">
        <v>7</v>
      </c>
      <c r="B61" s="11">
        <v>86</v>
      </c>
      <c r="C61" s="10" t="s">
        <v>1</v>
      </c>
      <c r="D61" s="14" t="s">
        <v>0</v>
      </c>
      <c r="E61" s="29">
        <v>798.9</v>
      </c>
      <c r="F61" s="20">
        <v>820.4</v>
      </c>
      <c r="G61" s="20">
        <v>824.2</v>
      </c>
      <c r="H61" s="20">
        <v>819.1</v>
      </c>
      <c r="I61" s="15">
        <v>822.1</v>
      </c>
      <c r="J61" s="15">
        <v>814.6</v>
      </c>
      <c r="K61" s="15">
        <v>817.8</v>
      </c>
      <c r="L61" s="20">
        <v>808.1</v>
      </c>
      <c r="M61" s="11">
        <v>822.2</v>
      </c>
      <c r="N61" s="11">
        <v>28.1875</v>
      </c>
      <c r="O61">
        <f t="shared" si="2"/>
        <v>1.029165102015271</v>
      </c>
      <c r="P61" s="22">
        <f t="shared" si="3"/>
        <v>21.5</v>
      </c>
      <c r="Q61" s="22">
        <f t="shared" si="0"/>
        <v>25.300000000000068</v>
      </c>
      <c r="R61" s="22">
        <f t="shared" si="0"/>
        <v>20.200000000000045</v>
      </c>
      <c r="S61" s="22">
        <f t="shared" si="0"/>
        <v>23.200000000000045</v>
      </c>
      <c r="T61" s="22">
        <f t="shared" si="0"/>
        <v>15.700000000000045</v>
      </c>
      <c r="U61" s="22">
        <f t="shared" si="0"/>
        <v>18.899999999999977</v>
      </c>
      <c r="V61" s="22">
        <f t="shared" si="0"/>
        <v>9.2000000000000455</v>
      </c>
      <c r="X61" s="22">
        <f t="shared" si="4"/>
        <v>0.99781075164193622</v>
      </c>
      <c r="Y61" s="22">
        <f t="shared" si="1"/>
        <v>1.0024324981756263</v>
      </c>
      <c r="Z61" s="22">
        <f t="shared" si="1"/>
        <v>0.99622962782777913</v>
      </c>
      <c r="AA61" s="22">
        <f t="shared" si="1"/>
        <v>0.99987837509121869</v>
      </c>
      <c r="AB61" s="22">
        <f t="shared" si="1"/>
        <v>0.99075650693261974</v>
      </c>
      <c r="AC61" s="22">
        <f t="shared" si="1"/>
        <v>0.99464850401362193</v>
      </c>
      <c r="AD61" s="22">
        <f t="shared" si="1"/>
        <v>0.98285088786183405</v>
      </c>
    </row>
    <row r="62" spans="1:30" x14ac:dyDescent="0.25">
      <c r="A62" s="16" t="s">
        <v>8</v>
      </c>
      <c r="B62" s="16">
        <v>102</v>
      </c>
      <c r="C62" s="17" t="s">
        <v>1</v>
      </c>
      <c r="D62" s="18" t="s">
        <v>0</v>
      </c>
      <c r="E62" s="30">
        <v>899.2</v>
      </c>
      <c r="F62" s="19">
        <v>909.8</v>
      </c>
      <c r="G62" s="19">
        <v>913.2</v>
      </c>
      <c r="H62" s="19">
        <v>908.6</v>
      </c>
      <c r="I62" s="19">
        <v>912.9</v>
      </c>
      <c r="J62" s="19">
        <v>906.1</v>
      </c>
      <c r="K62" s="19">
        <v>908.5</v>
      </c>
      <c r="L62" s="19">
        <v>900.1</v>
      </c>
      <c r="M62" s="16">
        <v>911.4</v>
      </c>
      <c r="N62" s="16">
        <v>28.0625</v>
      </c>
      <c r="O62">
        <f t="shared" si="2"/>
        <v>1.0135676156583628</v>
      </c>
      <c r="P62" s="22">
        <f t="shared" si="3"/>
        <v>10.599999999999909</v>
      </c>
      <c r="Q62" s="22">
        <f t="shared" si="0"/>
        <v>14</v>
      </c>
      <c r="R62" s="22">
        <f t="shared" si="0"/>
        <v>9.3999999999999773</v>
      </c>
      <c r="S62" s="22">
        <f t="shared" si="0"/>
        <v>13.699999999999932</v>
      </c>
      <c r="T62" s="22">
        <f t="shared" si="0"/>
        <v>6.8999999999999773</v>
      </c>
      <c r="U62" s="22">
        <f t="shared" si="0"/>
        <v>9.2999999999999545</v>
      </c>
      <c r="V62" s="22">
        <f t="shared" si="0"/>
        <v>0.89999999999997726</v>
      </c>
      <c r="X62" s="22">
        <f t="shared" si="4"/>
        <v>0.9982444590739521</v>
      </c>
      <c r="Y62" s="22">
        <f t="shared" si="1"/>
        <v>1.0019749835418039</v>
      </c>
      <c r="Z62" s="22">
        <f t="shared" si="1"/>
        <v>0.99692780337941633</v>
      </c>
      <c r="AA62" s="22">
        <f t="shared" si="1"/>
        <v>1.0016458196181699</v>
      </c>
      <c r="AB62" s="22">
        <f t="shared" si="1"/>
        <v>0.99418477068246658</v>
      </c>
      <c r="AC62" s="22">
        <f t="shared" si="1"/>
        <v>0.99681808207153833</v>
      </c>
      <c r="AD62" s="22">
        <f t="shared" si="1"/>
        <v>0.98760149220978721</v>
      </c>
    </row>
    <row r="63" spans="1:30" ht="15.75" thickBot="1" x14ac:dyDescent="0.3">
      <c r="A63" s="13" t="s">
        <v>9</v>
      </c>
      <c r="B63" s="13">
        <v>115</v>
      </c>
      <c r="C63" s="12" t="s">
        <v>1</v>
      </c>
      <c r="D63" s="21" t="s">
        <v>0</v>
      </c>
      <c r="E63" s="31">
        <v>993.3</v>
      </c>
      <c r="F63" s="24">
        <v>972.1</v>
      </c>
      <c r="G63" s="24">
        <v>972.6</v>
      </c>
      <c r="H63" s="24">
        <v>969.1</v>
      </c>
      <c r="I63" s="24">
        <v>972.9</v>
      </c>
      <c r="J63" s="24">
        <v>968.9</v>
      </c>
      <c r="K63" s="24">
        <v>971.1</v>
      </c>
      <c r="L63" s="24">
        <v>965.9</v>
      </c>
      <c r="M63" s="28">
        <v>973.5</v>
      </c>
      <c r="N63" s="13">
        <v>28.1875</v>
      </c>
      <c r="O63">
        <f t="shared" si="2"/>
        <v>0.98006644518272434</v>
      </c>
      <c r="P63" s="22">
        <f t="shared" si="3"/>
        <v>-21.199999999999932</v>
      </c>
      <c r="Q63" s="22">
        <f t="shared" si="0"/>
        <v>-20.699999999999932</v>
      </c>
      <c r="R63" s="22">
        <f t="shared" si="0"/>
        <v>-24.199999999999932</v>
      </c>
      <c r="S63" s="22">
        <f t="shared" si="0"/>
        <v>-20.399999999999977</v>
      </c>
      <c r="T63" s="22">
        <f t="shared" si="0"/>
        <v>-24.399999999999977</v>
      </c>
      <c r="U63" s="22">
        <f t="shared" si="0"/>
        <v>-22.199999999999932</v>
      </c>
      <c r="V63" s="22">
        <f t="shared" si="0"/>
        <v>-27.399999999999977</v>
      </c>
      <c r="W63" s="27" t="s">
        <v>70</v>
      </c>
      <c r="X63" s="22">
        <f t="shared" si="4"/>
        <v>0.99856189008731389</v>
      </c>
      <c r="Y63" s="22">
        <f t="shared" si="1"/>
        <v>0.99907550077041607</v>
      </c>
      <c r="Z63" s="22">
        <f t="shared" si="1"/>
        <v>0.99548022598870056</v>
      </c>
      <c r="AA63" s="22">
        <f t="shared" si="1"/>
        <v>0.99938366718027738</v>
      </c>
      <c r="AB63" s="22">
        <f t="shared" si="1"/>
        <v>0.99527478171545969</v>
      </c>
      <c r="AC63" s="22">
        <f t="shared" si="1"/>
        <v>0.99753466872110941</v>
      </c>
      <c r="AD63" s="22">
        <f t="shared" si="1"/>
        <v>0.99219311761684637</v>
      </c>
    </row>
    <row r="64" spans="1:30" x14ac:dyDescent="0.25">
      <c r="E64" s="32" t="s">
        <v>71</v>
      </c>
      <c r="P64" s="33">
        <f>SUM(P53:P63)/11</f>
        <v>11.27272727272727</v>
      </c>
      <c r="Q64" s="33">
        <f t="shared" ref="Q64:V64" si="5">SUM(Q53:Q63)/11</f>
        <v>13.318181818181829</v>
      </c>
      <c r="R64" s="33">
        <f t="shared" si="5"/>
        <v>11.109090909090918</v>
      </c>
      <c r="S64" s="33">
        <f t="shared" si="5"/>
        <v>13.299999999999999</v>
      </c>
      <c r="T64" s="33">
        <f t="shared" si="5"/>
        <v>8.8454545454545617</v>
      </c>
      <c r="U64" s="33">
        <f>SUM(U53:U63)/11</f>
        <v>10.454545454545462</v>
      </c>
      <c r="V64" s="33">
        <f t="shared" si="5"/>
        <v>5.3454545454545572</v>
      </c>
      <c r="X64" s="33">
        <f>SUM(X53:X63)/11</f>
        <v>0.99705452012937423</v>
      </c>
      <c r="Y64" s="33">
        <f t="shared" ref="Y64" si="6">SUM(Y53:Y63)/11</f>
        <v>1.0012445146325992</v>
      </c>
      <c r="Z64" s="33">
        <f t="shared" ref="Z64" si="7">SUM(Z53:Z63)/11</f>
        <v>0.99742437486979452</v>
      </c>
      <c r="AA64" s="33">
        <f t="shared" ref="AA64" si="8">SUM(AA53:AA63)/11</f>
        <v>1.0015632038866984</v>
      </c>
      <c r="AB64" s="33">
        <f t="shared" ref="AB64" si="9">SUM(AB53:AB63)/11</f>
        <v>0.99187090330356686</v>
      </c>
      <c r="AC64" s="33">
        <f>SUM(AC53:AC63)/11</f>
        <v>0.99569367090955396</v>
      </c>
      <c r="AD64" s="33">
        <f t="shared" ref="AD64" si="10">SUM(AD53:AD63)/11</f>
        <v>0.98479672784927341</v>
      </c>
    </row>
    <row r="65" spans="1:25" x14ac:dyDescent="0.25">
      <c r="E65" s="32" t="s">
        <v>72</v>
      </c>
      <c r="P65" s="33"/>
      <c r="Q65" s="33"/>
      <c r="R65" s="33"/>
      <c r="S65" s="33"/>
      <c r="T65" s="33"/>
      <c r="U65" s="33"/>
      <c r="V65" s="33"/>
    </row>
    <row r="66" spans="1:25" x14ac:dyDescent="0.25">
      <c r="A66" t="s">
        <v>65</v>
      </c>
    </row>
    <row r="67" spans="1:25" x14ac:dyDescent="0.25">
      <c r="B67" t="s">
        <v>68</v>
      </c>
    </row>
    <row r="68" spans="1:25" x14ac:dyDescent="0.25">
      <c r="B68" t="s">
        <v>66</v>
      </c>
    </row>
    <row r="69" spans="1:25" x14ac:dyDescent="0.25">
      <c r="B69" t="s">
        <v>67</v>
      </c>
    </row>
    <row r="70" spans="1:25" x14ac:dyDescent="0.25">
      <c r="B70" t="s">
        <v>66</v>
      </c>
    </row>
    <row r="71" spans="1:25" x14ac:dyDescent="0.25">
      <c r="B71" t="s">
        <v>69</v>
      </c>
    </row>
    <row r="73" spans="1:25" x14ac:dyDescent="0.25">
      <c r="A73" t="s">
        <v>37</v>
      </c>
    </row>
    <row r="74" spans="1:25" x14ac:dyDescent="0.25">
      <c r="A74" t="s">
        <v>38</v>
      </c>
    </row>
    <row r="75" spans="1:25" ht="15.75" thickBot="1" x14ac:dyDescent="0.3"/>
    <row r="76" spans="1:25" ht="21.75" thickBot="1" x14ac:dyDescent="0.4">
      <c r="B76" s="1" t="s">
        <v>76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</row>
    <row r="77" spans="1:25" ht="45.75" thickBot="1" x14ac:dyDescent="0.3">
      <c r="A77" s="4"/>
      <c r="B77" s="4" t="s">
        <v>45</v>
      </c>
      <c r="C77" s="5" t="s">
        <v>55</v>
      </c>
      <c r="D77" s="6" t="s">
        <v>54</v>
      </c>
      <c r="E77" s="4" t="s">
        <v>36</v>
      </c>
      <c r="F77" s="7" t="s">
        <v>46</v>
      </c>
      <c r="G77" s="7" t="s">
        <v>47</v>
      </c>
      <c r="H77" s="7" t="s">
        <v>48</v>
      </c>
      <c r="I77" s="7" t="s">
        <v>49</v>
      </c>
      <c r="J77" s="7" t="s">
        <v>50</v>
      </c>
      <c r="K77" s="7" t="s">
        <v>52</v>
      </c>
      <c r="L77" s="7" t="s">
        <v>51</v>
      </c>
      <c r="M77" s="4" t="s">
        <v>53</v>
      </c>
      <c r="N77" s="8" t="s">
        <v>64</v>
      </c>
      <c r="O77" s="9"/>
      <c r="P77" s="5" t="s">
        <v>46</v>
      </c>
      <c r="Q77" s="7" t="s">
        <v>47</v>
      </c>
      <c r="R77" s="7" t="s">
        <v>48</v>
      </c>
      <c r="S77" s="7" t="s">
        <v>49</v>
      </c>
      <c r="T77" s="7" t="s">
        <v>50</v>
      </c>
      <c r="U77" s="7" t="s">
        <v>52</v>
      </c>
      <c r="V77" s="6" t="s">
        <v>51</v>
      </c>
      <c r="W77" s="9"/>
      <c r="X77" s="9"/>
      <c r="Y77" s="9"/>
    </row>
    <row r="78" spans="1:25" x14ac:dyDescent="0.25">
      <c r="A78" s="11" t="s">
        <v>43</v>
      </c>
      <c r="B78" s="11">
        <v>5</v>
      </c>
      <c r="C78" s="10" t="s">
        <v>58</v>
      </c>
      <c r="D78" s="14" t="s">
        <v>59</v>
      </c>
      <c r="E78" s="29">
        <v>52.85</v>
      </c>
      <c r="F78" s="15">
        <v>55.53</v>
      </c>
      <c r="G78" s="15"/>
      <c r="H78" s="15"/>
      <c r="I78" s="15"/>
      <c r="J78" s="15"/>
      <c r="K78" s="15"/>
      <c r="L78" s="15"/>
      <c r="M78" s="11"/>
      <c r="N78" s="11">
        <v>28.5</v>
      </c>
      <c r="P78" s="22">
        <f>$M$53/F78</f>
        <v>1.0156672069151809</v>
      </c>
      <c r="Q78" s="22" t="e">
        <f t="shared" ref="Q78" si="11">$M$53/G78</f>
        <v>#DIV/0!</v>
      </c>
      <c r="R78" s="22" t="e">
        <f t="shared" ref="R78" si="12">$M$53/H78</f>
        <v>#DIV/0!</v>
      </c>
      <c r="S78" s="22" t="e">
        <f t="shared" ref="S78" si="13">$M$53/I78</f>
        <v>#DIV/0!</v>
      </c>
      <c r="T78" s="22" t="e">
        <f t="shared" ref="T78" si="14">$M$53/J78</f>
        <v>#DIV/0!</v>
      </c>
      <c r="U78" s="22" t="e">
        <f t="shared" ref="U78" si="15">$M$53/K78</f>
        <v>#DIV/0!</v>
      </c>
      <c r="V78" s="23" t="e">
        <f t="shared" ref="V78" si="16">$M$53/L78</f>
        <v>#DIV/0!</v>
      </c>
    </row>
    <row r="79" spans="1:25" x14ac:dyDescent="0.25">
      <c r="A79" s="16" t="s">
        <v>0</v>
      </c>
      <c r="B79" s="16">
        <v>9</v>
      </c>
      <c r="C79" s="17" t="s">
        <v>61</v>
      </c>
      <c r="D79" s="18" t="s">
        <v>58</v>
      </c>
      <c r="E79" s="30">
        <v>95.31</v>
      </c>
      <c r="F79" s="19">
        <v>99.25</v>
      </c>
      <c r="G79" s="19"/>
      <c r="H79" s="19"/>
      <c r="I79" s="19"/>
      <c r="J79" s="19"/>
      <c r="K79" s="19"/>
      <c r="L79" s="19"/>
      <c r="M79" s="16"/>
      <c r="N79" s="16">
        <v>28.56</v>
      </c>
      <c r="P79" s="22">
        <f>$M$54/F79</f>
        <v>1.0146095717884132</v>
      </c>
      <c r="Q79" s="22" t="e">
        <f t="shared" ref="Q79" si="17">$M$54/G79</f>
        <v>#DIV/0!</v>
      </c>
      <c r="R79" s="22" t="e">
        <f t="shared" ref="R79" si="18">$M$54/H79</f>
        <v>#DIV/0!</v>
      </c>
      <c r="S79" s="22" t="e">
        <f t="shared" ref="S79" si="19">$M$54/I79</f>
        <v>#DIV/0!</v>
      </c>
      <c r="T79" s="22" t="e">
        <f t="shared" ref="T79" si="20">$M$54/J79</f>
        <v>#DIV/0!</v>
      </c>
      <c r="U79" s="22" t="e">
        <f t="shared" ref="U79" si="21">$M$54/K79</f>
        <v>#DIV/0!</v>
      </c>
      <c r="V79" s="23" t="e">
        <f t="shared" ref="V79" si="22">$M$54/L79</f>
        <v>#DIV/0!</v>
      </c>
    </row>
    <row r="80" spans="1:25" x14ac:dyDescent="0.25">
      <c r="A80" s="11" t="s">
        <v>1</v>
      </c>
      <c r="B80" s="11">
        <v>18</v>
      </c>
      <c r="C80" s="10" t="s">
        <v>32</v>
      </c>
      <c r="D80" s="14" t="s">
        <v>61</v>
      </c>
      <c r="E80" s="29">
        <v>192.3</v>
      </c>
      <c r="F80" s="15">
        <v>201.2</v>
      </c>
      <c r="G80" s="20"/>
      <c r="H80" s="20"/>
      <c r="I80" s="20"/>
      <c r="J80" s="20"/>
      <c r="K80" s="20"/>
      <c r="L80" s="20"/>
      <c r="M80" s="11"/>
      <c r="N80" s="11">
        <v>28.81</v>
      </c>
      <c r="P80" s="22">
        <f>$M$55/F80</f>
        <v>1.0198807157057654</v>
      </c>
      <c r="Q80" s="22" t="e">
        <f t="shared" ref="Q80" si="23">$M$55/G80</f>
        <v>#DIV/0!</v>
      </c>
      <c r="R80" s="22" t="e">
        <f t="shared" ref="R80" si="24">$M$55/H80</f>
        <v>#DIV/0!</v>
      </c>
      <c r="S80" s="22" t="e">
        <f t="shared" ref="S80" si="25">$M$55/I80</f>
        <v>#DIV/0!</v>
      </c>
      <c r="T80" s="22" t="e">
        <f t="shared" ref="T80" si="26">$M$55/J80</f>
        <v>#DIV/0!</v>
      </c>
      <c r="U80" s="22" t="e">
        <f t="shared" ref="U80" si="27">$M$55/K80</f>
        <v>#DIV/0!</v>
      </c>
      <c r="V80" s="23" t="e">
        <f t="shared" ref="V80" si="28">$M$55/L80</f>
        <v>#DIV/0!</v>
      </c>
    </row>
    <row r="81" spans="1:25" x14ac:dyDescent="0.25">
      <c r="A81" s="16" t="s">
        <v>56</v>
      </c>
      <c r="B81" s="16">
        <v>28</v>
      </c>
      <c r="C81" s="17" t="s">
        <v>32</v>
      </c>
      <c r="D81" s="18" t="s">
        <v>32</v>
      </c>
      <c r="E81" s="30">
        <v>296.89999999999998</v>
      </c>
      <c r="F81" s="19"/>
      <c r="G81" s="19"/>
      <c r="H81" s="19"/>
      <c r="I81" s="19"/>
      <c r="J81" s="19"/>
      <c r="K81" s="19"/>
      <c r="L81" s="19"/>
      <c r="M81" s="16"/>
      <c r="N81" s="16">
        <v>29.4</v>
      </c>
      <c r="P81" s="22" t="e">
        <f>$M$56/F81</f>
        <v>#DIV/0!</v>
      </c>
      <c r="Q81" s="22" t="e">
        <f t="shared" ref="Q81" si="29">$M$56/G81</f>
        <v>#DIV/0!</v>
      </c>
      <c r="R81" s="22" t="e">
        <f t="shared" ref="R81" si="30">$M$56/H81</f>
        <v>#DIV/0!</v>
      </c>
      <c r="S81" s="22" t="e">
        <f t="shared" ref="S81" si="31">$M$56/I81</f>
        <v>#DIV/0!</v>
      </c>
      <c r="T81" s="22" t="e">
        <f t="shared" ref="T81" si="32">$M$56/J81</f>
        <v>#DIV/0!</v>
      </c>
      <c r="U81" s="22" t="e">
        <f t="shared" ref="U81" si="33">$M$56/K81</f>
        <v>#DIV/0!</v>
      </c>
      <c r="V81" s="23" t="e">
        <f t="shared" ref="V81" si="34">$M$56/L81</f>
        <v>#DIV/0!</v>
      </c>
    </row>
    <row r="82" spans="1:25" x14ac:dyDescent="0.25">
      <c r="A82" s="11" t="s">
        <v>3</v>
      </c>
      <c r="B82" s="11">
        <v>40</v>
      </c>
      <c r="C82" s="10" t="s">
        <v>0</v>
      </c>
      <c r="D82" s="14" t="s">
        <v>32</v>
      </c>
      <c r="E82" s="29">
        <v>399.3</v>
      </c>
      <c r="F82" s="20"/>
      <c r="G82" s="20"/>
      <c r="H82" s="20"/>
      <c r="I82" s="20"/>
      <c r="J82" s="20"/>
      <c r="K82" s="20"/>
      <c r="L82" s="20"/>
      <c r="M82" s="11"/>
      <c r="N82" s="11">
        <v>29.37</v>
      </c>
      <c r="P82" s="22" t="e">
        <f>$M$57/F82</f>
        <v>#DIV/0!</v>
      </c>
      <c r="Q82" s="22" t="e">
        <f t="shared" ref="Q82" si="35">$M$57/G82</f>
        <v>#DIV/0!</v>
      </c>
      <c r="R82" s="22" t="e">
        <f t="shared" ref="R82" si="36">$M$57/H82</f>
        <v>#DIV/0!</v>
      </c>
      <c r="S82" s="22" t="e">
        <f t="shared" ref="S82" si="37">$M$57/I82</f>
        <v>#DIV/0!</v>
      </c>
      <c r="T82" s="22" t="e">
        <f t="shared" ref="T82" si="38">$M$57/J82</f>
        <v>#DIV/0!</v>
      </c>
      <c r="U82" s="22" t="e">
        <f t="shared" ref="U82" si="39">$M$57/K82</f>
        <v>#DIV/0!</v>
      </c>
      <c r="V82" s="23" t="e">
        <f t="shared" ref="V82" si="40">$M$57/L82</f>
        <v>#DIV/0!</v>
      </c>
    </row>
    <row r="83" spans="1:25" x14ac:dyDescent="0.25">
      <c r="A83" s="16" t="s">
        <v>4</v>
      </c>
      <c r="B83" s="16">
        <v>50</v>
      </c>
      <c r="C83" s="17" t="s">
        <v>0</v>
      </c>
      <c r="D83" s="18" t="s">
        <v>32</v>
      </c>
      <c r="E83" s="30">
        <v>497.5</v>
      </c>
      <c r="F83" s="19"/>
      <c r="G83" s="19"/>
      <c r="H83" s="19"/>
      <c r="I83" s="19"/>
      <c r="J83" s="19"/>
      <c r="K83" s="19"/>
      <c r="L83" s="19"/>
      <c r="M83" s="16"/>
      <c r="N83" s="16">
        <v>29.18</v>
      </c>
      <c r="P83" s="22" t="e">
        <f>$M$58/F83</f>
        <v>#DIV/0!</v>
      </c>
      <c r="Q83" s="22" t="e">
        <f t="shared" ref="Q83" si="41">$M$58/G83</f>
        <v>#DIV/0!</v>
      </c>
      <c r="R83" s="22" t="e">
        <f t="shared" ref="R83" si="42">$M$58/H83</f>
        <v>#DIV/0!</v>
      </c>
      <c r="S83" s="22" t="e">
        <f t="shared" ref="S83" si="43">$M$58/I83</f>
        <v>#DIV/0!</v>
      </c>
      <c r="T83" s="22" t="e">
        <f t="shared" ref="T83" si="44">$M$58/J83</f>
        <v>#DIV/0!</v>
      </c>
      <c r="U83" s="22" t="e">
        <f t="shared" ref="U83" si="45">$M$58/K83</f>
        <v>#DIV/0!</v>
      </c>
      <c r="V83" s="23" t="e">
        <f t="shared" ref="V83" si="46">$M$58/L83</f>
        <v>#DIV/0!</v>
      </c>
    </row>
    <row r="84" spans="1:25" x14ac:dyDescent="0.25">
      <c r="A84" s="11" t="s">
        <v>5</v>
      </c>
      <c r="B84" s="11">
        <v>62</v>
      </c>
      <c r="C84" s="10" t="s">
        <v>0</v>
      </c>
      <c r="D84" s="14" t="s">
        <v>32</v>
      </c>
      <c r="E84" s="29">
        <v>595.29999999999995</v>
      </c>
      <c r="F84" s="20"/>
      <c r="G84" s="20"/>
      <c r="H84" s="20"/>
      <c r="I84" s="20"/>
      <c r="J84" s="20"/>
      <c r="K84" s="20"/>
      <c r="L84" s="20"/>
      <c r="M84" s="11"/>
      <c r="N84" s="11">
        <v>29.06</v>
      </c>
      <c r="P84" s="22" t="e">
        <f>$M$59/F84</f>
        <v>#DIV/0!</v>
      </c>
      <c r="Q84" s="22" t="e">
        <f t="shared" ref="Q84" si="47">$M$59/G84</f>
        <v>#DIV/0!</v>
      </c>
      <c r="R84" s="22" t="e">
        <f t="shared" ref="R84" si="48">$M$59/H84</f>
        <v>#DIV/0!</v>
      </c>
      <c r="S84" s="22" t="e">
        <f t="shared" ref="S84" si="49">$M$59/I84</f>
        <v>#DIV/0!</v>
      </c>
      <c r="T84" s="22" t="e">
        <f t="shared" ref="T84" si="50">$M$59/J84</f>
        <v>#DIV/0!</v>
      </c>
      <c r="U84" s="22" t="e">
        <f t="shared" ref="U84" si="51">$M$59/K84</f>
        <v>#DIV/0!</v>
      </c>
      <c r="V84" s="23" t="e">
        <f t="shared" ref="V84" si="52">$M$59/L84</f>
        <v>#DIV/0!</v>
      </c>
    </row>
    <row r="85" spans="1:25" x14ac:dyDescent="0.25">
      <c r="A85" s="16" t="s">
        <v>57</v>
      </c>
      <c r="B85" s="16">
        <v>74</v>
      </c>
      <c r="C85" s="17" t="s">
        <v>1</v>
      </c>
      <c r="D85" s="18" t="s">
        <v>0</v>
      </c>
      <c r="E85" s="30">
        <v>691.5</v>
      </c>
      <c r="F85" s="19"/>
      <c r="G85" s="19"/>
      <c r="H85" s="19"/>
      <c r="I85" s="19"/>
      <c r="J85" s="19"/>
      <c r="K85" s="19"/>
      <c r="L85" s="19"/>
      <c r="M85" s="16"/>
      <c r="N85" s="16">
        <v>29.06</v>
      </c>
      <c r="P85" s="22" t="e">
        <f>$M$60/F85</f>
        <v>#DIV/0!</v>
      </c>
      <c r="Q85" s="22" t="e">
        <f t="shared" ref="Q85" si="53">$M$60/G85</f>
        <v>#DIV/0!</v>
      </c>
      <c r="R85" s="22" t="e">
        <f t="shared" ref="R85" si="54">$M$60/H85</f>
        <v>#DIV/0!</v>
      </c>
      <c r="S85" s="22" t="e">
        <f t="shared" ref="S85" si="55">$M$60/I85</f>
        <v>#DIV/0!</v>
      </c>
      <c r="T85" s="22" t="e">
        <f t="shared" ref="T85" si="56">$M$60/J85</f>
        <v>#DIV/0!</v>
      </c>
      <c r="U85" s="22" t="e">
        <f t="shared" ref="U85" si="57">$M$60/K85</f>
        <v>#DIV/0!</v>
      </c>
      <c r="V85" s="23" t="e">
        <f t="shared" ref="V85" si="58">$M$60/L85</f>
        <v>#DIV/0!</v>
      </c>
    </row>
    <row r="86" spans="1:25" x14ac:dyDescent="0.25">
      <c r="A86" s="11" t="s">
        <v>7</v>
      </c>
      <c r="B86" s="11">
        <v>86</v>
      </c>
      <c r="C86" s="10" t="s">
        <v>1</v>
      </c>
      <c r="D86" s="14" t="s">
        <v>0</v>
      </c>
      <c r="E86" s="29">
        <v>796.5</v>
      </c>
      <c r="F86" s="20"/>
      <c r="G86" s="20"/>
      <c r="H86" s="20"/>
      <c r="I86" s="15"/>
      <c r="J86" s="15"/>
      <c r="K86" s="15"/>
      <c r="L86" s="20"/>
      <c r="M86" s="11"/>
      <c r="N86" s="11">
        <v>29.06</v>
      </c>
      <c r="P86" s="22" t="e">
        <f>$M$61/F86</f>
        <v>#DIV/0!</v>
      </c>
      <c r="Q86" s="22" t="e">
        <f t="shared" ref="Q86" si="59">$M$61/G86</f>
        <v>#DIV/0!</v>
      </c>
      <c r="R86" s="22" t="e">
        <f t="shared" ref="R86" si="60">$M$61/H86</f>
        <v>#DIV/0!</v>
      </c>
      <c r="S86" s="22" t="e">
        <f t="shared" ref="S86" si="61">$M$61/I86</f>
        <v>#DIV/0!</v>
      </c>
      <c r="T86" s="22" t="e">
        <f t="shared" ref="T86" si="62">$M$61/J86</f>
        <v>#DIV/0!</v>
      </c>
      <c r="U86" s="22" t="e">
        <f>$M$61/K86</f>
        <v>#DIV/0!</v>
      </c>
      <c r="V86" s="23" t="e">
        <f t="shared" ref="V86" si="63">$M$61/L86</f>
        <v>#DIV/0!</v>
      </c>
    </row>
    <row r="87" spans="1:25" x14ac:dyDescent="0.25">
      <c r="A87" s="16" t="s">
        <v>8</v>
      </c>
      <c r="B87" s="16">
        <v>102</v>
      </c>
      <c r="C87" s="17" t="s">
        <v>1</v>
      </c>
      <c r="D87" s="18" t="s">
        <v>0</v>
      </c>
      <c r="E87" s="30">
        <v>898.6</v>
      </c>
      <c r="F87" s="19"/>
      <c r="G87" s="19"/>
      <c r="H87" s="19"/>
      <c r="I87" s="19"/>
      <c r="J87" s="19"/>
      <c r="K87" s="19"/>
      <c r="L87" s="19"/>
      <c r="M87" s="16"/>
      <c r="N87" s="16">
        <v>29.06</v>
      </c>
      <c r="P87" s="22" t="e">
        <f>$M$62/F87</f>
        <v>#DIV/0!</v>
      </c>
      <c r="Q87" s="22" t="e">
        <f>$M$62/G87</f>
        <v>#DIV/0!</v>
      </c>
      <c r="R87" s="22" t="e">
        <f t="shared" ref="R87" si="64">$M$62/H87</f>
        <v>#DIV/0!</v>
      </c>
      <c r="S87" s="22" t="e">
        <f t="shared" ref="S87" si="65">$M$62/I87</f>
        <v>#DIV/0!</v>
      </c>
      <c r="T87" s="22" t="e">
        <f t="shared" ref="T87" si="66">$M$62/J87</f>
        <v>#DIV/0!</v>
      </c>
      <c r="U87" s="22" t="e">
        <f t="shared" ref="U87" si="67">$M$62/K87</f>
        <v>#DIV/0!</v>
      </c>
      <c r="V87" s="23" t="e">
        <f t="shared" ref="V87" si="68">$M$62/L87</f>
        <v>#DIV/0!</v>
      </c>
    </row>
    <row r="88" spans="1:25" ht="15.75" thickBot="1" x14ac:dyDescent="0.3">
      <c r="A88" s="13" t="s">
        <v>9</v>
      </c>
      <c r="B88" s="13">
        <v>115</v>
      </c>
      <c r="C88" s="12" t="s">
        <v>1</v>
      </c>
      <c r="D88" s="21" t="s">
        <v>0</v>
      </c>
      <c r="E88" s="31">
        <v>995.5</v>
      </c>
      <c r="F88" s="24"/>
      <c r="G88" s="24"/>
      <c r="H88" s="24"/>
      <c r="I88" s="24"/>
      <c r="J88" s="24"/>
      <c r="K88" s="24"/>
      <c r="L88" s="24"/>
      <c r="M88" s="28"/>
      <c r="N88" s="13"/>
      <c r="P88" s="25" t="e">
        <f>$M$63/F88</f>
        <v>#DIV/0!</v>
      </c>
      <c r="Q88" s="25" t="e">
        <f t="shared" ref="Q88" si="69">$M$63/G88</f>
        <v>#DIV/0!</v>
      </c>
      <c r="R88" s="25" t="e">
        <f t="shared" ref="R88" si="70">$M$63/H88</f>
        <v>#DIV/0!</v>
      </c>
      <c r="S88" s="25" t="e">
        <f t="shared" ref="S88" si="71">$M$63/I88</f>
        <v>#DIV/0!</v>
      </c>
      <c r="T88" s="25" t="e">
        <f t="shared" ref="T88" si="72">$M$63/J88</f>
        <v>#DIV/0!</v>
      </c>
      <c r="U88" s="25" t="e">
        <f t="shared" ref="U88" si="73">$M$63/K88</f>
        <v>#DIV/0!</v>
      </c>
      <c r="V88" s="26" t="e">
        <f t="shared" ref="V88" si="74">$M$63/L88</f>
        <v>#DIV/0!</v>
      </c>
      <c r="W88" s="27" t="s">
        <v>70</v>
      </c>
    </row>
    <row r="89" spans="1:25" x14ac:dyDescent="0.25">
      <c r="E89" s="32" t="s">
        <v>71</v>
      </c>
      <c r="P89" s="33" t="e">
        <f>SUM(P78:P88)/11</f>
        <v>#DIV/0!</v>
      </c>
      <c r="Q89" s="33" t="e">
        <f t="shared" ref="Q89" si="75">SUM(Q78:Q88)/11</f>
        <v>#DIV/0!</v>
      </c>
      <c r="R89" s="33" t="e">
        <f t="shared" ref="R89" si="76">SUM(R78:R88)/11</f>
        <v>#DIV/0!</v>
      </c>
      <c r="S89" s="33" t="e">
        <f t="shared" ref="S89" si="77">SUM(S78:S88)/11</f>
        <v>#DIV/0!</v>
      </c>
      <c r="T89" s="33" t="e">
        <f t="shared" ref="T89" si="78">SUM(T78:T88)/11</f>
        <v>#DIV/0!</v>
      </c>
      <c r="U89" s="33" t="e">
        <f>SUM(U78:U88)/11</f>
        <v>#DIV/0!</v>
      </c>
      <c r="V89" s="33" t="e">
        <f t="shared" ref="V89" si="79">SUM(V78:V88)/11</f>
        <v>#DIV/0!</v>
      </c>
    </row>
    <row r="90" spans="1:25" x14ac:dyDescent="0.25">
      <c r="E90" s="32" t="s">
        <v>72</v>
      </c>
      <c r="P90" s="33"/>
      <c r="Q90" s="33"/>
      <c r="R90" s="33"/>
      <c r="S90" s="33"/>
      <c r="T90" s="33"/>
      <c r="U90" s="33"/>
      <c r="V90" s="33"/>
    </row>
    <row r="92" spans="1:25" ht="15.75" thickBot="1" x14ac:dyDescent="0.3"/>
    <row r="93" spans="1:25" ht="21.75" thickBot="1" x14ac:dyDescent="0.4">
      <c r="B93" s="1" t="s">
        <v>73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</row>
    <row r="94" spans="1:25" ht="45.75" thickBot="1" x14ac:dyDescent="0.3">
      <c r="A94" s="4"/>
      <c r="B94" s="4" t="s">
        <v>45</v>
      </c>
      <c r="C94" s="5" t="s">
        <v>55</v>
      </c>
      <c r="D94" s="6" t="s">
        <v>54</v>
      </c>
      <c r="E94" s="4" t="s">
        <v>36</v>
      </c>
      <c r="F94" s="7" t="s">
        <v>46</v>
      </c>
      <c r="G94" s="7" t="s">
        <v>47</v>
      </c>
      <c r="H94" s="7" t="s">
        <v>48</v>
      </c>
      <c r="I94" s="7" t="s">
        <v>49</v>
      </c>
      <c r="J94" s="7" t="s">
        <v>50</v>
      </c>
      <c r="K94" s="7" t="s">
        <v>52</v>
      </c>
      <c r="L94" s="7" t="s">
        <v>51</v>
      </c>
      <c r="M94" s="4" t="s">
        <v>53</v>
      </c>
      <c r="N94" s="8" t="s">
        <v>64</v>
      </c>
      <c r="O94" s="9"/>
      <c r="P94" s="5" t="s">
        <v>46</v>
      </c>
      <c r="Q94" s="7" t="s">
        <v>47</v>
      </c>
      <c r="R94" s="7" t="s">
        <v>48</v>
      </c>
      <c r="S94" s="7" t="s">
        <v>49</v>
      </c>
      <c r="T94" s="7" t="s">
        <v>50</v>
      </c>
      <c r="U94" s="7" t="s">
        <v>52</v>
      </c>
      <c r="V94" s="6" t="s">
        <v>51</v>
      </c>
      <c r="W94" s="9"/>
      <c r="X94" s="9"/>
      <c r="Y94" s="9"/>
    </row>
    <row r="95" spans="1:25" x14ac:dyDescent="0.25">
      <c r="A95" s="11" t="s">
        <v>43</v>
      </c>
      <c r="B95" s="11">
        <v>5</v>
      </c>
      <c r="C95" s="10" t="s">
        <v>58</v>
      </c>
      <c r="D95" s="14" t="s">
        <v>59</v>
      </c>
      <c r="E95" s="29">
        <v>54.2</v>
      </c>
      <c r="F95" s="15"/>
      <c r="G95" s="15"/>
      <c r="H95" s="15"/>
      <c r="I95" s="15"/>
      <c r="J95" s="15"/>
      <c r="K95" s="15"/>
      <c r="L95" s="15"/>
      <c r="M95" s="11"/>
      <c r="N95" s="11">
        <v>28.12</v>
      </c>
      <c r="P95" s="22" t="e">
        <f>$M$53/F95</f>
        <v>#DIV/0!</v>
      </c>
      <c r="Q95" s="22" t="e">
        <f t="shared" ref="Q95" si="80">$M$53/G95</f>
        <v>#DIV/0!</v>
      </c>
      <c r="R95" s="22" t="e">
        <f t="shared" ref="R95" si="81">$M$53/H95</f>
        <v>#DIV/0!</v>
      </c>
      <c r="S95" s="22" t="e">
        <f t="shared" ref="S95" si="82">$M$53/I95</f>
        <v>#DIV/0!</v>
      </c>
      <c r="T95" s="22" t="e">
        <f t="shared" ref="T95" si="83">$M$53/J95</f>
        <v>#DIV/0!</v>
      </c>
      <c r="U95" s="22" t="e">
        <f t="shared" ref="U95" si="84">$M$53/K95</f>
        <v>#DIV/0!</v>
      </c>
      <c r="V95" s="23" t="e">
        <f t="shared" ref="V95" si="85">$M$53/L95</f>
        <v>#DIV/0!</v>
      </c>
    </row>
    <row r="96" spans="1:25" x14ac:dyDescent="0.25">
      <c r="A96" s="16" t="s">
        <v>0</v>
      </c>
      <c r="B96" s="16">
        <v>9</v>
      </c>
      <c r="C96" s="17" t="s">
        <v>61</v>
      </c>
      <c r="D96" s="18" t="s">
        <v>58</v>
      </c>
      <c r="E96" s="30">
        <v>96.66</v>
      </c>
      <c r="F96" s="19"/>
      <c r="G96" s="19"/>
      <c r="H96" s="19"/>
      <c r="I96" s="19"/>
      <c r="J96" s="19"/>
      <c r="K96" s="19"/>
      <c r="L96" s="19"/>
      <c r="M96" s="16"/>
      <c r="N96" s="16">
        <v>28.81</v>
      </c>
      <c r="P96" s="22" t="e">
        <f>$M$54/F96</f>
        <v>#DIV/0!</v>
      </c>
      <c r="Q96" s="22" t="e">
        <f t="shared" ref="Q96" si="86">$M$54/G96</f>
        <v>#DIV/0!</v>
      </c>
      <c r="R96" s="22" t="e">
        <f t="shared" ref="R96" si="87">$M$54/H96</f>
        <v>#DIV/0!</v>
      </c>
      <c r="S96" s="22" t="e">
        <f t="shared" ref="S96" si="88">$M$54/I96</f>
        <v>#DIV/0!</v>
      </c>
      <c r="T96" s="22" t="e">
        <f t="shared" ref="T96" si="89">$M$54/J96</f>
        <v>#DIV/0!</v>
      </c>
      <c r="U96" s="22" t="e">
        <f t="shared" ref="U96" si="90">$M$54/K96</f>
        <v>#DIV/0!</v>
      </c>
      <c r="V96" s="23" t="e">
        <f t="shared" ref="V96" si="91">$M$54/L96</f>
        <v>#DIV/0!</v>
      </c>
    </row>
    <row r="97" spans="1:23" x14ac:dyDescent="0.25">
      <c r="A97" s="11" t="s">
        <v>1</v>
      </c>
      <c r="B97" s="11">
        <v>18</v>
      </c>
      <c r="C97" s="10" t="s">
        <v>32</v>
      </c>
      <c r="D97" s="14" t="s">
        <v>61</v>
      </c>
      <c r="E97" s="29">
        <v>195.9</v>
      </c>
      <c r="F97" s="15"/>
      <c r="G97" s="20"/>
      <c r="H97" s="20"/>
      <c r="I97" s="20"/>
      <c r="J97" s="20"/>
      <c r="K97" s="20"/>
      <c r="L97" s="20"/>
      <c r="M97" s="11"/>
      <c r="N97" s="11">
        <v>29.06</v>
      </c>
      <c r="P97" s="22" t="e">
        <f>$M$55/F97</f>
        <v>#DIV/0!</v>
      </c>
      <c r="Q97" s="22" t="e">
        <f t="shared" ref="Q97" si="92">$M$55/G97</f>
        <v>#DIV/0!</v>
      </c>
      <c r="R97" s="22" t="e">
        <f t="shared" ref="R97" si="93">$M$55/H97</f>
        <v>#DIV/0!</v>
      </c>
      <c r="S97" s="22" t="e">
        <f t="shared" ref="S97" si="94">$M$55/I97</f>
        <v>#DIV/0!</v>
      </c>
      <c r="T97" s="22" t="e">
        <f t="shared" ref="T97" si="95">$M$55/J97</f>
        <v>#DIV/0!</v>
      </c>
      <c r="U97" s="22" t="e">
        <f t="shared" ref="U97" si="96">$M$55/K97</f>
        <v>#DIV/0!</v>
      </c>
      <c r="V97" s="23" t="e">
        <f t="shared" ref="V97" si="97">$M$55/L97</f>
        <v>#DIV/0!</v>
      </c>
    </row>
    <row r="98" spans="1:23" x14ac:dyDescent="0.25">
      <c r="A98" s="16" t="s">
        <v>56</v>
      </c>
      <c r="B98" s="16">
        <v>28</v>
      </c>
      <c r="C98" s="17" t="s">
        <v>32</v>
      </c>
      <c r="D98" s="18" t="s">
        <v>32</v>
      </c>
      <c r="E98" s="30">
        <v>299.7</v>
      </c>
      <c r="F98" s="19"/>
      <c r="G98" s="19"/>
      <c r="H98" s="19"/>
      <c r="I98" s="19"/>
      <c r="J98" s="19"/>
      <c r="K98" s="19"/>
      <c r="L98" s="19"/>
      <c r="M98" s="16"/>
      <c r="N98" s="16">
        <v>29.18</v>
      </c>
      <c r="P98" s="22" t="e">
        <f>$M$56/F98</f>
        <v>#DIV/0!</v>
      </c>
      <c r="Q98" s="22" t="e">
        <f t="shared" ref="Q98" si="98">$M$56/G98</f>
        <v>#DIV/0!</v>
      </c>
      <c r="R98" s="22" t="e">
        <f t="shared" ref="R98" si="99">$M$56/H98</f>
        <v>#DIV/0!</v>
      </c>
      <c r="S98" s="22" t="e">
        <f t="shared" ref="S98" si="100">$M$56/I98</f>
        <v>#DIV/0!</v>
      </c>
      <c r="T98" s="22" t="e">
        <f t="shared" ref="T98" si="101">$M$56/J98</f>
        <v>#DIV/0!</v>
      </c>
      <c r="U98" s="22" t="e">
        <f t="shared" ref="U98" si="102">$M$56/K98</f>
        <v>#DIV/0!</v>
      </c>
      <c r="V98" s="23" t="e">
        <f t="shared" ref="V98" si="103">$M$56/L98</f>
        <v>#DIV/0!</v>
      </c>
    </row>
    <row r="99" spans="1:23" x14ac:dyDescent="0.25">
      <c r="A99" s="11" t="s">
        <v>3</v>
      </c>
      <c r="B99" s="11">
        <v>40</v>
      </c>
      <c r="C99" s="10" t="s">
        <v>0</v>
      </c>
      <c r="D99" s="14" t="s">
        <v>32</v>
      </c>
      <c r="E99" s="29">
        <v>403.7</v>
      </c>
      <c r="F99" s="20"/>
      <c r="G99" s="20"/>
      <c r="H99" s="20"/>
      <c r="I99" s="20"/>
      <c r="J99" s="20"/>
      <c r="K99" s="20"/>
      <c r="L99" s="20"/>
      <c r="M99" s="11"/>
      <c r="N99" s="11">
        <v>29.25</v>
      </c>
      <c r="P99" s="22" t="e">
        <f>$M$57/F99</f>
        <v>#DIV/0!</v>
      </c>
      <c r="Q99" s="22" t="e">
        <f t="shared" ref="Q99" si="104">$M$57/G99</f>
        <v>#DIV/0!</v>
      </c>
      <c r="R99" s="22" t="e">
        <f t="shared" ref="R99" si="105">$M$57/H99</f>
        <v>#DIV/0!</v>
      </c>
      <c r="S99" s="22" t="e">
        <f t="shared" ref="S99" si="106">$M$57/I99</f>
        <v>#DIV/0!</v>
      </c>
      <c r="T99" s="22" t="e">
        <f t="shared" ref="T99" si="107">$M$57/J99</f>
        <v>#DIV/0!</v>
      </c>
      <c r="U99" s="22" t="e">
        <f t="shared" ref="U99" si="108">$M$57/K99</f>
        <v>#DIV/0!</v>
      </c>
      <c r="V99" s="23" t="e">
        <f t="shared" ref="V99" si="109">$M$57/L99</f>
        <v>#DIV/0!</v>
      </c>
    </row>
    <row r="100" spans="1:23" x14ac:dyDescent="0.25">
      <c r="A100" s="16" t="s">
        <v>4</v>
      </c>
      <c r="B100" s="16">
        <v>50</v>
      </c>
      <c r="C100" s="17" t="s">
        <v>0</v>
      </c>
      <c r="D100" s="18" t="s">
        <v>32</v>
      </c>
      <c r="E100" s="30">
        <v>502.4</v>
      </c>
      <c r="F100" s="19"/>
      <c r="G100" s="19"/>
      <c r="H100" s="19"/>
      <c r="I100" s="19"/>
      <c r="J100" s="19"/>
      <c r="K100" s="19"/>
      <c r="L100" s="19"/>
      <c r="M100" s="16"/>
      <c r="N100" s="16">
        <v>29.3</v>
      </c>
      <c r="P100" s="22" t="e">
        <f>$M$58/F100</f>
        <v>#DIV/0!</v>
      </c>
      <c r="Q100" s="22" t="e">
        <f t="shared" ref="Q100" si="110">$M$58/G100</f>
        <v>#DIV/0!</v>
      </c>
      <c r="R100" s="22" t="e">
        <f t="shared" ref="R100" si="111">$M$58/H100</f>
        <v>#DIV/0!</v>
      </c>
      <c r="S100" s="22" t="e">
        <f t="shared" ref="S100" si="112">$M$58/I100</f>
        <v>#DIV/0!</v>
      </c>
      <c r="T100" s="22" t="e">
        <f t="shared" ref="T100" si="113">$M$58/J100</f>
        <v>#DIV/0!</v>
      </c>
      <c r="U100" s="22" t="e">
        <f t="shared" ref="U100" si="114">$M$58/K100</f>
        <v>#DIV/0!</v>
      </c>
      <c r="V100" s="23" t="e">
        <f t="shared" ref="V100" si="115">$M$58/L100</f>
        <v>#DIV/0!</v>
      </c>
    </row>
    <row r="101" spans="1:23" x14ac:dyDescent="0.25">
      <c r="A101" s="11" t="s">
        <v>5</v>
      </c>
      <c r="B101" s="11">
        <v>62</v>
      </c>
      <c r="C101" s="10" t="s">
        <v>0</v>
      </c>
      <c r="D101" s="14" t="s">
        <v>32</v>
      </c>
      <c r="E101" s="29">
        <v>602.6</v>
      </c>
      <c r="F101" s="20"/>
      <c r="G101" s="20"/>
      <c r="H101" s="20"/>
      <c r="I101" s="20"/>
      <c r="J101" s="20"/>
      <c r="K101" s="20"/>
      <c r="L101" s="20"/>
      <c r="M101" s="11"/>
      <c r="N101" s="11">
        <v>29.3</v>
      </c>
      <c r="P101" s="22" t="e">
        <f>$M$59/F101</f>
        <v>#DIV/0!</v>
      </c>
      <c r="Q101" s="22" t="e">
        <f t="shared" ref="Q101" si="116">$M$59/G101</f>
        <v>#DIV/0!</v>
      </c>
      <c r="R101" s="22" t="e">
        <f t="shared" ref="R101" si="117">$M$59/H101</f>
        <v>#DIV/0!</v>
      </c>
      <c r="S101" s="22" t="e">
        <f t="shared" ref="S101" si="118">$M$59/I101</f>
        <v>#DIV/0!</v>
      </c>
      <c r="T101" s="22" t="e">
        <f t="shared" ref="T101" si="119">$M$59/J101</f>
        <v>#DIV/0!</v>
      </c>
      <c r="U101" s="22" t="e">
        <f t="shared" ref="U101" si="120">$M$59/K101</f>
        <v>#DIV/0!</v>
      </c>
      <c r="V101" s="23" t="e">
        <f t="shared" ref="V101" si="121">$M$59/L101</f>
        <v>#DIV/0!</v>
      </c>
    </row>
    <row r="102" spans="1:23" x14ac:dyDescent="0.25">
      <c r="A102" s="16" t="s">
        <v>57</v>
      </c>
      <c r="B102" s="16">
        <v>74</v>
      </c>
      <c r="C102" s="17" t="s">
        <v>1</v>
      </c>
      <c r="D102" s="18" t="s">
        <v>0</v>
      </c>
      <c r="E102" s="30">
        <v>696.3</v>
      </c>
      <c r="F102" s="19"/>
      <c r="G102" s="19"/>
      <c r="H102" s="19"/>
      <c r="I102" s="19"/>
      <c r="J102" s="19"/>
      <c r="K102" s="19"/>
      <c r="L102" s="19"/>
      <c r="M102" s="16"/>
      <c r="N102" s="16">
        <v>29.43</v>
      </c>
      <c r="P102" s="22" t="e">
        <f>$M$60/F102</f>
        <v>#DIV/0!</v>
      </c>
      <c r="Q102" s="22" t="e">
        <f t="shared" ref="Q102" si="122">$M$60/G102</f>
        <v>#DIV/0!</v>
      </c>
      <c r="R102" s="22" t="e">
        <f t="shared" ref="R102" si="123">$M$60/H102</f>
        <v>#DIV/0!</v>
      </c>
      <c r="S102" s="22" t="e">
        <f t="shared" ref="S102" si="124">$M$60/I102</f>
        <v>#DIV/0!</v>
      </c>
      <c r="T102" s="22" t="e">
        <f t="shared" ref="T102" si="125">$M$60/J102</f>
        <v>#DIV/0!</v>
      </c>
      <c r="U102" s="22" t="e">
        <f t="shared" ref="U102" si="126">$M$60/K102</f>
        <v>#DIV/0!</v>
      </c>
      <c r="V102" s="23" t="e">
        <f t="shared" ref="V102" si="127">$M$60/L102</f>
        <v>#DIV/0!</v>
      </c>
    </row>
    <row r="103" spans="1:23" x14ac:dyDescent="0.25">
      <c r="A103" s="11" t="s">
        <v>7</v>
      </c>
      <c r="B103" s="11">
        <v>86</v>
      </c>
      <c r="C103" s="10" t="s">
        <v>1</v>
      </c>
      <c r="D103" s="14" t="s">
        <v>0</v>
      </c>
      <c r="E103" s="29">
        <v>803.1</v>
      </c>
      <c r="F103" s="20"/>
      <c r="G103" s="20"/>
      <c r="H103" s="20"/>
      <c r="I103" s="15"/>
      <c r="J103" s="15"/>
      <c r="K103" s="15"/>
      <c r="L103" s="20"/>
      <c r="M103" s="11"/>
      <c r="N103" s="11">
        <v>29.43</v>
      </c>
      <c r="P103" s="22" t="e">
        <f>$M$61/F103</f>
        <v>#DIV/0!</v>
      </c>
      <c r="Q103" s="22" t="e">
        <f t="shared" ref="Q103" si="128">$M$61/G103</f>
        <v>#DIV/0!</v>
      </c>
      <c r="R103" s="22" t="e">
        <f t="shared" ref="R103" si="129">$M$61/H103</f>
        <v>#DIV/0!</v>
      </c>
      <c r="S103" s="22" t="e">
        <f t="shared" ref="S103" si="130">$M$61/I103</f>
        <v>#DIV/0!</v>
      </c>
      <c r="T103" s="22" t="e">
        <f t="shared" ref="T103" si="131">$M$61/J103</f>
        <v>#DIV/0!</v>
      </c>
      <c r="U103" s="22" t="e">
        <f>$M$61/K103</f>
        <v>#DIV/0!</v>
      </c>
      <c r="V103" s="23" t="e">
        <f t="shared" ref="V103" si="132">$M$61/L103</f>
        <v>#DIV/0!</v>
      </c>
    </row>
    <row r="104" spans="1:23" x14ac:dyDescent="0.25">
      <c r="A104" s="16" t="s">
        <v>8</v>
      </c>
      <c r="B104" s="16">
        <v>102</v>
      </c>
      <c r="C104" s="17" t="s">
        <v>1</v>
      </c>
      <c r="D104" s="18" t="s">
        <v>0</v>
      </c>
      <c r="E104" s="30">
        <v>905.1</v>
      </c>
      <c r="F104" s="19"/>
      <c r="G104" s="19"/>
      <c r="H104" s="19"/>
      <c r="I104" s="19"/>
      <c r="J104" s="19"/>
      <c r="K104" s="19"/>
      <c r="L104" s="19"/>
      <c r="M104" s="16"/>
      <c r="N104" s="16">
        <v>29.43</v>
      </c>
      <c r="P104" s="22" t="e">
        <f>$M$62/F104</f>
        <v>#DIV/0!</v>
      </c>
      <c r="Q104" s="22" t="e">
        <f>$M$62/G104</f>
        <v>#DIV/0!</v>
      </c>
      <c r="R104" s="22" t="e">
        <f t="shared" ref="R104" si="133">$M$62/H104</f>
        <v>#DIV/0!</v>
      </c>
      <c r="S104" s="22" t="e">
        <f t="shared" ref="S104" si="134">$M$62/I104</f>
        <v>#DIV/0!</v>
      </c>
      <c r="T104" s="22" t="e">
        <f t="shared" ref="T104" si="135">$M$62/J104</f>
        <v>#DIV/0!</v>
      </c>
      <c r="U104" s="22" t="e">
        <f t="shared" ref="U104" si="136">$M$62/K104</f>
        <v>#DIV/0!</v>
      </c>
      <c r="V104" s="23" t="e">
        <f t="shared" ref="V104" si="137">$M$62/L104</f>
        <v>#DIV/0!</v>
      </c>
    </row>
    <row r="105" spans="1:23" ht="15.75" thickBot="1" x14ac:dyDescent="0.3">
      <c r="A105" s="13" t="s">
        <v>9</v>
      </c>
      <c r="B105" s="13">
        <v>115</v>
      </c>
      <c r="C105" s="12" t="s">
        <v>1</v>
      </c>
      <c r="D105" s="21" t="s">
        <v>0</v>
      </c>
      <c r="E105" s="31">
        <v>1003</v>
      </c>
      <c r="F105" s="24"/>
      <c r="G105" s="24"/>
      <c r="H105" s="24"/>
      <c r="I105" s="24"/>
      <c r="J105" s="24"/>
      <c r="K105" s="24"/>
      <c r="L105" s="24"/>
      <c r="M105" s="28"/>
      <c r="N105" s="13">
        <v>29.5</v>
      </c>
      <c r="P105" s="25" t="e">
        <f>$M$63/F105</f>
        <v>#DIV/0!</v>
      </c>
      <c r="Q105" s="25" t="e">
        <f t="shared" ref="Q105" si="138">$M$63/G105</f>
        <v>#DIV/0!</v>
      </c>
      <c r="R105" s="25" t="e">
        <f t="shared" ref="R105" si="139">$M$63/H105</f>
        <v>#DIV/0!</v>
      </c>
      <c r="S105" s="25" t="e">
        <f t="shared" ref="S105" si="140">$M$63/I105</f>
        <v>#DIV/0!</v>
      </c>
      <c r="T105" s="25" t="e">
        <f t="shared" ref="T105" si="141">$M$63/J105</f>
        <v>#DIV/0!</v>
      </c>
      <c r="U105" s="25" t="e">
        <f t="shared" ref="U105" si="142">$M$63/K105</f>
        <v>#DIV/0!</v>
      </c>
      <c r="V105" s="26" t="e">
        <f t="shared" ref="V105" si="143">$M$63/L105</f>
        <v>#DIV/0!</v>
      </c>
      <c r="W105" s="27" t="s">
        <v>70</v>
      </c>
    </row>
    <row r="106" spans="1:23" x14ac:dyDescent="0.25">
      <c r="E106" s="32" t="s">
        <v>71</v>
      </c>
      <c r="P106" s="33" t="e">
        <f>SUM(P95:P105)/11</f>
        <v>#DIV/0!</v>
      </c>
      <c r="Q106" s="33" t="e">
        <f t="shared" ref="Q106" si="144">SUM(Q95:Q105)/11</f>
        <v>#DIV/0!</v>
      </c>
      <c r="R106" s="33" t="e">
        <f t="shared" ref="R106" si="145">SUM(R95:R105)/11</f>
        <v>#DIV/0!</v>
      </c>
      <c r="S106" s="33" t="e">
        <f t="shared" ref="S106" si="146">SUM(S95:S105)/11</f>
        <v>#DIV/0!</v>
      </c>
      <c r="T106" s="33" t="e">
        <f t="shared" ref="T106" si="147">SUM(T95:T105)/11</f>
        <v>#DIV/0!</v>
      </c>
      <c r="U106" s="33" t="e">
        <f>SUM(U95:U105)/11</f>
        <v>#DIV/0!</v>
      </c>
      <c r="V106" s="33" t="e">
        <f t="shared" ref="V106" si="148">SUM(V95:V105)/11</f>
        <v>#DIV/0!</v>
      </c>
    </row>
  </sheetData>
  <mergeCells count="3">
    <mergeCell ref="B51:N51"/>
    <mergeCell ref="B76:N76"/>
    <mergeCell ref="B93:N9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CIEMAT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2019-10-25T09:10:38Z</dcterms:created>
  <dcterms:modified xsi:type="dcterms:W3CDTF">2019-10-28T11:01:54Z</dcterms:modified>
</cp:coreProperties>
</file>